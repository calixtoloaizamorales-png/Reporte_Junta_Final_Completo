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_Google_Drive\Mi unidad\Servicio Tecnico Montacargas\Presentacion\Presentacion 1\"/>
    </mc:Choice>
  </mc:AlternateContent>
  <xr:revisionPtr revIDLastSave="0" documentId="8_{BCD22C21-D068-4D4E-990B-94BB9A4DC2E0}" xr6:coauthVersionLast="47" xr6:coauthVersionMax="47" xr10:uidLastSave="{00000000-0000-0000-0000-000000000000}"/>
  <bookViews>
    <workbookView xWindow="-120" yWindow="-120" windowWidth="29040" windowHeight="15720" xr2:uid="{2AD544CB-B356-4F7C-ADC5-5B188B6D7635}"/>
  </bookViews>
  <sheets>
    <sheet name="Hoja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8" i="1" l="1"/>
  <c r="Q38" i="1"/>
  <c r="P38" i="1"/>
  <c r="O38" i="1"/>
  <c r="E38" i="1"/>
  <c r="D38" i="1"/>
  <c r="C38" i="1"/>
  <c r="B38" i="1"/>
  <c r="R34" i="1"/>
  <c r="Q34" i="1"/>
  <c r="P34" i="1"/>
  <c r="O34" i="1"/>
  <c r="E34" i="1"/>
  <c r="D34" i="1"/>
  <c r="C34" i="1"/>
  <c r="B34" i="1"/>
  <c r="R30" i="1"/>
  <c r="Q30" i="1"/>
  <c r="P30" i="1"/>
  <c r="O30" i="1"/>
  <c r="E30" i="1"/>
  <c r="D30" i="1"/>
  <c r="C30" i="1"/>
  <c r="B30" i="1"/>
  <c r="R26" i="1"/>
  <c r="Q26" i="1"/>
  <c r="P26" i="1"/>
  <c r="O26" i="1"/>
  <c r="M26" i="1"/>
  <c r="P17" i="1" s="1"/>
  <c r="R12" i="1" s="1"/>
  <c r="L26" i="1"/>
  <c r="O17" i="1" s="1"/>
  <c r="Q12" i="1" s="1"/>
  <c r="K26" i="1"/>
  <c r="N17" i="1" s="1"/>
  <c r="P12" i="1" s="1"/>
  <c r="J26" i="1"/>
  <c r="M17" i="1" s="1"/>
  <c r="O12" i="1" s="1"/>
  <c r="E26" i="1"/>
  <c r="D26" i="1"/>
  <c r="C26" i="1"/>
  <c r="C22" i="1" s="1"/>
  <c r="B26" i="1"/>
  <c r="B22" i="1" s="1"/>
  <c r="R22" i="1"/>
  <c r="Q22" i="1"/>
  <c r="P22" i="1"/>
  <c r="O22" i="1"/>
  <c r="K22" i="1"/>
  <c r="J22" i="1"/>
  <c r="I22" i="1"/>
  <c r="H22" i="1"/>
  <c r="E22" i="1"/>
  <c r="D22" i="1"/>
  <c r="U17" i="1"/>
  <c r="T17" i="1"/>
  <c r="S17" i="1"/>
  <c r="R17" i="1"/>
  <c r="K17" i="1" l="1"/>
  <c r="L12" i="1" s="1"/>
  <c r="E17" i="1"/>
  <c r="G12" i="1" s="1"/>
  <c r="L5" i="1" s="1"/>
  <c r="J17" i="1"/>
  <c r="K12" i="1" s="1"/>
  <c r="D17" i="1"/>
  <c r="F12" i="1" s="1"/>
  <c r="K5" i="1" s="1"/>
  <c r="I17" i="1"/>
  <c r="J12" i="1" s="1"/>
  <c r="C17" i="1"/>
  <c r="E12" i="1" s="1"/>
  <c r="J5" i="1" s="1"/>
  <c r="H17" i="1"/>
  <c r="I12" i="1" s="1"/>
  <c r="B17" i="1"/>
  <c r="D12" i="1" l="1"/>
  <c r="I5" i="1" s="1"/>
</calcChain>
</file>

<file path=xl/sharedStrings.xml><?xml version="1.0" encoding="utf-8"?>
<sst xmlns="http://schemas.openxmlformats.org/spreadsheetml/2006/main" count="33" uniqueCount="27">
  <si>
    <t>Dupont Analysis 2025</t>
  </si>
  <si>
    <t>Return on Equity</t>
  </si>
  <si>
    <t>Equals</t>
  </si>
  <si>
    <t>Margen Neto</t>
  </si>
  <si>
    <t>Rotacion de Activos</t>
  </si>
  <si>
    <t>Total Asset Turnover</t>
  </si>
  <si>
    <t>Multiplied By</t>
  </si>
  <si>
    <t>Multiplicador de apalancamiento</t>
  </si>
  <si>
    <t>Ingresos Netos</t>
  </si>
  <si>
    <t>Divided By</t>
  </si>
  <si>
    <t>Ventas</t>
  </si>
  <si>
    <t>Activos totales</t>
  </si>
  <si>
    <t>Patrimonio</t>
  </si>
  <si>
    <t>Total Costos</t>
  </si>
  <si>
    <t>Total Costs</t>
  </si>
  <si>
    <t>Subtracted From</t>
  </si>
  <si>
    <t>Plus</t>
  </si>
  <si>
    <t>Activos Corrientes</t>
  </si>
  <si>
    <t>Costos</t>
  </si>
  <si>
    <t>Activos Fijos</t>
  </si>
  <si>
    <t>Efectivo</t>
  </si>
  <si>
    <t>Gastos</t>
  </si>
  <si>
    <t>Cuentas x cobrar</t>
  </si>
  <si>
    <t>Intereses</t>
  </si>
  <si>
    <t>Inventory</t>
  </si>
  <si>
    <t>Impuestos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</si>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</sst>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ptos"/>
      <family val="2"/>
    </font>
    <font>
      <b/>
      <sz val="12"/>
      <color theme="1"/>
      <name val="Aptos"/>
      <family val="2"/>
    </font>
    <font>
      <b/>
      <sz val="12"/>
      <color rgb="FF000000"/>
      <name val="Aptos"/>
      <family val="2"/>
    </font>
    <font>
      <b/>
      <u/>
      <sz val="12"/>
      <color theme="1"/>
      <name val="Aptos"/>
      <family val="2"/>
    </font>
    <font>
      <b/>
      <u/>
      <sz val="12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/>
    </xf>
    <xf numFmtId="0" fontId="3" fillId="3" borderId="1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top"/>
    </xf>
    <xf numFmtId="0" fontId="4" fillId="3" borderId="5" xfId="0" applyFont="1" applyFill="1" applyBorder="1" applyAlignment="1">
      <alignment horizontal="center" vertical="top"/>
    </xf>
    <xf numFmtId="0" fontId="4" fillId="3" borderId="6" xfId="0" applyFont="1" applyFill="1" applyBorder="1" applyAlignment="1">
      <alignment horizontal="center" vertical="top"/>
    </xf>
    <xf numFmtId="0" fontId="4" fillId="3" borderId="7" xfId="0" applyFont="1" applyFill="1" applyBorder="1" applyAlignment="1">
      <alignment horizontal="center" vertical="top"/>
    </xf>
    <xf numFmtId="10" fontId="2" fillId="3" borderId="8" xfId="3" applyNumberFormat="1" applyFont="1" applyFill="1" applyBorder="1" applyAlignment="1">
      <alignment horizontal="center" vertical="top"/>
    </xf>
    <xf numFmtId="10" fontId="2" fillId="3" borderId="9" xfId="3" applyNumberFormat="1" applyFont="1" applyFill="1" applyBorder="1" applyAlignment="1">
      <alignment horizontal="center" vertical="top"/>
    </xf>
    <xf numFmtId="10" fontId="2" fillId="3" borderId="10" xfId="3" applyNumberFormat="1" applyFont="1" applyFill="1" applyBorder="1" applyAlignment="1">
      <alignment horizontal="center" vertical="top"/>
    </xf>
    <xf numFmtId="0" fontId="3" fillId="4" borderId="11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3" fillId="2" borderId="12" xfId="0" applyFont="1" applyFill="1" applyBorder="1" applyAlignment="1">
      <alignment horizontal="center" vertical="top"/>
    </xf>
    <xf numFmtId="0" fontId="3" fillId="2" borderId="13" xfId="0" applyFont="1" applyFill="1" applyBorder="1" applyAlignment="1">
      <alignment horizontal="center" vertical="top"/>
    </xf>
    <xf numFmtId="0" fontId="3" fillId="2" borderId="14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5" fillId="5" borderId="0" xfId="0" applyFont="1" applyFill="1" applyAlignment="1">
      <alignment horizontal="center" vertical="top"/>
    </xf>
    <xf numFmtId="0" fontId="3" fillId="2" borderId="15" xfId="0" applyFont="1" applyFill="1" applyBorder="1" applyAlignment="1">
      <alignment horizontal="center" vertical="top"/>
    </xf>
    <xf numFmtId="0" fontId="3" fillId="2" borderId="16" xfId="0" applyFont="1" applyFill="1" applyBorder="1" applyAlignment="1">
      <alignment horizontal="center" vertical="top"/>
    </xf>
    <xf numFmtId="0" fontId="3" fillId="2" borderId="17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5" fillId="5" borderId="0" xfId="0" applyFont="1" applyFill="1" applyAlignment="1">
      <alignment horizontal="center" vertical="top"/>
    </xf>
    <xf numFmtId="0" fontId="4" fillId="2" borderId="18" xfId="0" applyFont="1" applyFill="1" applyBorder="1" applyAlignment="1">
      <alignment horizontal="center" vertical="top"/>
    </xf>
    <xf numFmtId="0" fontId="4" fillId="2" borderId="19" xfId="0" applyFont="1" applyFill="1" applyBorder="1" applyAlignment="1">
      <alignment horizontal="center" vertical="top"/>
    </xf>
    <xf numFmtId="0" fontId="4" fillId="2" borderId="20" xfId="0" applyFont="1" applyFill="1" applyBorder="1" applyAlignment="1">
      <alignment horizontal="center" vertical="top"/>
    </xf>
    <xf numFmtId="9" fontId="2" fillId="2" borderId="8" xfId="3" applyFont="1" applyFill="1" applyBorder="1" applyAlignment="1">
      <alignment horizontal="center" vertical="top"/>
    </xf>
    <xf numFmtId="9" fontId="2" fillId="2" borderId="9" xfId="3" applyFont="1" applyFill="1" applyBorder="1" applyAlignment="1">
      <alignment horizontal="center" vertical="top"/>
    </xf>
    <xf numFmtId="9" fontId="2" fillId="2" borderId="10" xfId="3" applyFont="1" applyFill="1" applyBorder="1" applyAlignment="1">
      <alignment horizontal="center" vertical="top"/>
    </xf>
    <xf numFmtId="0" fontId="2" fillId="5" borderId="0" xfId="0" applyFont="1" applyFill="1" applyAlignment="1">
      <alignment horizontal="center" vertical="top"/>
    </xf>
    <xf numFmtId="2" fontId="2" fillId="2" borderId="8" xfId="0" applyNumberFormat="1" applyFont="1" applyFill="1" applyBorder="1" applyAlignment="1">
      <alignment horizontal="center" vertical="top"/>
    </xf>
    <xf numFmtId="2" fontId="2" fillId="2" borderId="9" xfId="1" applyNumberFormat="1" applyFont="1" applyFill="1" applyBorder="1" applyAlignment="1">
      <alignment horizontal="center" vertical="top"/>
    </xf>
    <xf numFmtId="2" fontId="2" fillId="2" borderId="10" xfId="1" applyNumberFormat="1" applyFont="1" applyFill="1" applyBorder="1" applyAlignment="1">
      <alignment horizontal="center" vertical="top"/>
    </xf>
    <xf numFmtId="44" fontId="2" fillId="2" borderId="0" xfId="2" applyFont="1" applyFill="1" applyAlignment="1">
      <alignment horizontal="center" vertical="top"/>
    </xf>
    <xf numFmtId="9" fontId="2" fillId="2" borderId="0" xfId="3" applyFont="1" applyFill="1" applyAlignment="1">
      <alignment horizontal="center" vertical="top"/>
    </xf>
    <xf numFmtId="0" fontId="5" fillId="6" borderId="0" xfId="0" applyFont="1" applyFill="1" applyAlignment="1">
      <alignment horizontal="center" vertical="top"/>
    </xf>
    <xf numFmtId="0" fontId="3" fillId="2" borderId="21" xfId="0" applyFont="1" applyFill="1" applyBorder="1" applyAlignment="1">
      <alignment horizontal="center" vertical="top"/>
    </xf>
    <xf numFmtId="0" fontId="3" fillId="2" borderId="22" xfId="0" applyFont="1" applyFill="1" applyBorder="1" applyAlignment="1">
      <alignment horizontal="center" vertical="top"/>
    </xf>
    <xf numFmtId="164" fontId="2" fillId="2" borderId="8" xfId="0" applyNumberFormat="1" applyFont="1" applyFill="1" applyBorder="1" applyAlignment="1">
      <alignment horizontal="center" vertical="top"/>
    </xf>
    <xf numFmtId="164" fontId="2" fillId="2" borderId="9" xfId="1" applyNumberFormat="1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165" fontId="2" fillId="2" borderId="9" xfId="1" applyNumberFormat="1" applyFont="1" applyFill="1" applyBorder="1" applyAlignment="1">
      <alignment horizontal="center" vertical="top"/>
    </xf>
    <xf numFmtId="165" fontId="2" fillId="2" borderId="10" xfId="1" applyNumberFormat="1" applyFont="1" applyFill="1" applyBorder="1" applyAlignment="1">
      <alignment horizontal="center" vertical="top"/>
    </xf>
    <xf numFmtId="165" fontId="2" fillId="2" borderId="8" xfId="1" applyNumberFormat="1" applyFont="1" applyFill="1" applyBorder="1" applyAlignment="1">
      <alignment horizontal="center" vertical="top"/>
    </xf>
    <xf numFmtId="44" fontId="2" fillId="2" borderId="0" xfId="2" applyFont="1" applyFill="1" applyBorder="1" applyAlignment="1">
      <alignment horizontal="center" vertical="top"/>
    </xf>
    <xf numFmtId="0" fontId="2" fillId="0" borderId="0" xfId="0" applyFont="1"/>
    <xf numFmtId="0" fontId="3" fillId="7" borderId="23" xfId="0" applyFont="1" applyFill="1" applyBorder="1" applyAlignment="1">
      <alignment horizontal="center" vertical="top"/>
    </xf>
    <xf numFmtId="0" fontId="3" fillId="7" borderId="24" xfId="0" applyFont="1" applyFill="1" applyBorder="1" applyAlignment="1">
      <alignment horizontal="center" vertical="top"/>
    </xf>
    <xf numFmtId="0" fontId="3" fillId="7" borderId="25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 wrapText="1"/>
    </xf>
    <xf numFmtId="0" fontId="3" fillId="7" borderId="12" xfId="0" applyFont="1" applyFill="1" applyBorder="1" applyAlignment="1">
      <alignment horizontal="center" vertical="top"/>
    </xf>
    <xf numFmtId="0" fontId="3" fillId="7" borderId="13" xfId="0" applyFont="1" applyFill="1" applyBorder="1" applyAlignment="1">
      <alignment horizontal="center" vertical="top"/>
    </xf>
    <xf numFmtId="0" fontId="3" fillId="7" borderId="14" xfId="0" applyFont="1" applyFill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3" fillId="8" borderId="26" xfId="0" applyFont="1" applyFill="1" applyBorder="1" applyAlignment="1">
      <alignment horizontal="center" vertical="top"/>
    </xf>
    <xf numFmtId="0" fontId="3" fillId="8" borderId="27" xfId="0" applyFont="1" applyFill="1" applyBorder="1" applyAlignment="1">
      <alignment horizontal="center" vertical="top"/>
    </xf>
    <xf numFmtId="0" fontId="2" fillId="7" borderId="18" xfId="0" applyFont="1" applyFill="1" applyBorder="1" applyAlignment="1">
      <alignment horizontal="center" vertical="top"/>
    </xf>
    <xf numFmtId="0" fontId="2" fillId="7" borderId="19" xfId="0" applyFont="1" applyFill="1" applyBorder="1" applyAlignment="1">
      <alignment horizontal="center" vertical="top"/>
    </xf>
    <xf numFmtId="0" fontId="2" fillId="7" borderId="20" xfId="0" applyFont="1" applyFill="1" applyBorder="1" applyAlignment="1">
      <alignment horizontal="center" vertical="top"/>
    </xf>
    <xf numFmtId="0" fontId="2" fillId="7" borderId="5" xfId="0" applyFont="1" applyFill="1" applyBorder="1" applyAlignment="1">
      <alignment horizontal="center" vertical="top"/>
    </xf>
    <xf numFmtId="0" fontId="2" fillId="7" borderId="6" xfId="0" applyFont="1" applyFill="1" applyBorder="1" applyAlignment="1">
      <alignment horizontal="center" vertical="top"/>
    </xf>
    <xf numFmtId="0" fontId="2" fillId="7" borderId="7" xfId="0" applyFont="1" applyFill="1" applyBorder="1" applyAlignment="1">
      <alignment horizontal="center" vertical="top"/>
    </xf>
    <xf numFmtId="0" fontId="2" fillId="8" borderId="28" xfId="0" applyFont="1" applyFill="1" applyBorder="1" applyAlignment="1">
      <alignment horizontal="center" vertical="top"/>
    </xf>
    <xf numFmtId="0" fontId="2" fillId="8" borderId="29" xfId="0" applyFont="1" applyFill="1" applyBorder="1" applyAlignment="1">
      <alignment horizontal="center" vertical="top"/>
    </xf>
    <xf numFmtId="0" fontId="2" fillId="8" borderId="30" xfId="0" applyFont="1" applyFill="1" applyBorder="1" applyAlignment="1">
      <alignment horizontal="center" vertical="top"/>
    </xf>
    <xf numFmtId="165" fontId="2" fillId="7" borderId="8" xfId="1" applyNumberFormat="1" applyFont="1" applyFill="1" applyBorder="1" applyAlignment="1">
      <alignment horizontal="center" vertical="top"/>
    </xf>
    <xf numFmtId="165" fontId="2" fillId="7" borderId="9" xfId="1" applyNumberFormat="1" applyFont="1" applyFill="1" applyBorder="1" applyAlignment="1">
      <alignment horizontal="center" vertical="top"/>
    </xf>
    <xf numFmtId="165" fontId="2" fillId="7" borderId="10" xfId="1" applyNumberFormat="1" applyFont="1" applyFill="1" applyBorder="1" applyAlignment="1">
      <alignment horizontal="center" vertical="top"/>
    </xf>
    <xf numFmtId="164" fontId="2" fillId="7" borderId="8" xfId="1" applyNumberFormat="1" applyFont="1" applyFill="1" applyBorder="1" applyAlignment="1">
      <alignment horizontal="center" vertical="top"/>
    </xf>
    <xf numFmtId="164" fontId="2" fillId="7" borderId="9" xfId="1" applyNumberFormat="1" applyFont="1" applyFill="1" applyBorder="1" applyAlignment="1">
      <alignment horizontal="center" vertical="top"/>
    </xf>
    <xf numFmtId="164" fontId="2" fillId="7" borderId="10" xfId="1" applyNumberFormat="1" applyFont="1" applyFill="1" applyBorder="1" applyAlignment="1">
      <alignment horizontal="center" vertical="top"/>
    </xf>
    <xf numFmtId="164" fontId="2" fillId="8" borderId="8" xfId="1" applyNumberFormat="1" applyFont="1" applyFill="1" applyBorder="1" applyAlignment="1">
      <alignment horizontal="center" vertical="top"/>
    </xf>
    <xf numFmtId="164" fontId="2" fillId="8" borderId="9" xfId="1" applyNumberFormat="1" applyFont="1" applyFill="1" applyBorder="1" applyAlignment="1">
      <alignment horizontal="center" vertical="top"/>
    </xf>
    <xf numFmtId="164" fontId="2" fillId="8" borderId="10" xfId="1" applyNumberFormat="1" applyFont="1" applyFill="1" applyBorder="1" applyAlignment="1">
      <alignment horizontal="center" vertical="top"/>
    </xf>
    <xf numFmtId="0" fontId="3" fillId="8" borderId="31" xfId="0" applyFont="1" applyFill="1" applyBorder="1" applyAlignment="1">
      <alignment horizontal="center" vertical="top"/>
    </xf>
    <xf numFmtId="0" fontId="3" fillId="8" borderId="32" xfId="0" applyFont="1" applyFill="1" applyBorder="1" applyAlignment="1">
      <alignment horizontal="center" vertical="top"/>
    </xf>
    <xf numFmtId="0" fontId="3" fillId="8" borderId="33" xfId="0" applyFont="1" applyFill="1" applyBorder="1" applyAlignment="1">
      <alignment horizontal="center" vertical="top"/>
    </xf>
    <xf numFmtId="0" fontId="3" fillId="8" borderId="34" xfId="0" applyFont="1" applyFill="1" applyBorder="1" applyAlignment="1">
      <alignment horizontal="center" vertical="top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16</xdr:row>
      <xdr:rowOff>190500</xdr:rowOff>
    </xdr:from>
    <xdr:to>
      <xdr:col>3</xdr:col>
      <xdr:colOff>581025</xdr:colOff>
      <xdr:row>18</xdr:row>
      <xdr:rowOff>190500</xdr:rowOff>
    </xdr:to>
    <xdr:cxnSp macro="">
      <xdr:nvCxnSpPr>
        <xdr:cNvPr id="2" name="6 Conector recto">
          <a:extLst>
            <a:ext uri="{FF2B5EF4-FFF2-40B4-BE49-F238E27FC236}">
              <a16:creationId xmlns:a16="http://schemas.microsoft.com/office/drawing/2014/main" id="{D0EB0505-0495-41E6-B4BE-4D8DA3EE85EC}"/>
            </a:ext>
          </a:extLst>
        </xdr:cNvPr>
        <xdr:cNvCxnSpPr/>
      </xdr:nvCxnSpPr>
      <xdr:spPr>
        <a:xfrm flipH="1">
          <a:off x="3067050" y="3495675"/>
          <a:ext cx="9525" cy="40957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361950</xdr:colOff>
      <xdr:row>18</xdr:row>
      <xdr:rowOff>9525</xdr:rowOff>
    </xdr:from>
    <xdr:to>
      <xdr:col>7</xdr:col>
      <xdr:colOff>361951</xdr:colOff>
      <xdr:row>18</xdr:row>
      <xdr:rowOff>190500</xdr:rowOff>
    </xdr:to>
    <xdr:cxnSp macro="">
      <xdr:nvCxnSpPr>
        <xdr:cNvPr id="3" name="8 Conector recto">
          <a:extLst>
            <a:ext uri="{FF2B5EF4-FFF2-40B4-BE49-F238E27FC236}">
              <a16:creationId xmlns:a16="http://schemas.microsoft.com/office/drawing/2014/main" id="{15348B97-2D88-42A5-A9CB-1600BF038C81}"/>
            </a:ext>
          </a:extLst>
        </xdr:cNvPr>
        <xdr:cNvCxnSpPr/>
      </xdr:nvCxnSpPr>
      <xdr:spPr>
        <a:xfrm>
          <a:off x="7781925" y="3724275"/>
          <a:ext cx="1" cy="18097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561975</xdr:colOff>
      <xdr:row>18</xdr:row>
      <xdr:rowOff>1</xdr:rowOff>
    </xdr:from>
    <xdr:to>
      <xdr:col>7</xdr:col>
      <xdr:colOff>361950</xdr:colOff>
      <xdr:row>18</xdr:row>
      <xdr:rowOff>9525</xdr:rowOff>
    </xdr:to>
    <xdr:cxnSp macro="">
      <xdr:nvCxnSpPr>
        <xdr:cNvPr id="4" name="9 Conector recto">
          <a:extLst>
            <a:ext uri="{FF2B5EF4-FFF2-40B4-BE49-F238E27FC236}">
              <a16:creationId xmlns:a16="http://schemas.microsoft.com/office/drawing/2014/main" id="{ED171CA1-5815-4FA9-B2D3-0095C07EA82E}"/>
            </a:ext>
          </a:extLst>
        </xdr:cNvPr>
        <xdr:cNvCxnSpPr/>
      </xdr:nvCxnSpPr>
      <xdr:spPr>
        <a:xfrm flipV="1">
          <a:off x="3057525" y="3714751"/>
          <a:ext cx="4724400" cy="9524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569123</xdr:colOff>
      <xdr:row>7</xdr:row>
      <xdr:rowOff>38100</xdr:rowOff>
    </xdr:from>
    <xdr:to>
      <xdr:col>9</xdr:col>
      <xdr:colOff>581025</xdr:colOff>
      <xdr:row>8</xdr:row>
      <xdr:rowOff>190500</xdr:rowOff>
    </xdr:to>
    <xdr:cxnSp macro="">
      <xdr:nvCxnSpPr>
        <xdr:cNvPr id="5" name="14 Conector recto">
          <a:extLst>
            <a:ext uri="{FF2B5EF4-FFF2-40B4-BE49-F238E27FC236}">
              <a16:creationId xmlns:a16="http://schemas.microsoft.com/office/drawing/2014/main" id="{648ACD77-AD7A-4A13-ACA4-BB547F1C9C7D}"/>
            </a:ext>
          </a:extLst>
        </xdr:cNvPr>
        <xdr:cNvCxnSpPr/>
      </xdr:nvCxnSpPr>
      <xdr:spPr>
        <a:xfrm flipH="1">
          <a:off x="10351298" y="1504950"/>
          <a:ext cx="11902" cy="35242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821531</xdr:colOff>
      <xdr:row>18</xdr:row>
      <xdr:rowOff>0</xdr:rowOff>
    </xdr:from>
    <xdr:to>
      <xdr:col>15</xdr:col>
      <xdr:colOff>666750</xdr:colOff>
      <xdr:row>18</xdr:row>
      <xdr:rowOff>11906</xdr:rowOff>
    </xdr:to>
    <xdr:cxnSp macro="">
      <xdr:nvCxnSpPr>
        <xdr:cNvPr id="6" name="24 Conector recto">
          <a:extLst>
            <a:ext uri="{FF2B5EF4-FFF2-40B4-BE49-F238E27FC236}">
              <a16:creationId xmlns:a16="http://schemas.microsoft.com/office/drawing/2014/main" id="{78948ACE-9BD2-4DAA-9EE6-44DD317D3973}"/>
            </a:ext>
          </a:extLst>
        </xdr:cNvPr>
        <xdr:cNvCxnSpPr/>
      </xdr:nvCxnSpPr>
      <xdr:spPr>
        <a:xfrm>
          <a:off x="12965906" y="3714750"/>
          <a:ext cx="4741069" cy="11906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812007</xdr:colOff>
      <xdr:row>18</xdr:row>
      <xdr:rowOff>0</xdr:rowOff>
    </xdr:from>
    <xdr:to>
      <xdr:col>11</xdr:col>
      <xdr:colOff>821532</xdr:colOff>
      <xdr:row>23</xdr:row>
      <xdr:rowOff>0</xdr:rowOff>
    </xdr:to>
    <xdr:cxnSp macro="">
      <xdr:nvCxnSpPr>
        <xdr:cNvPr id="7" name="25 Conector recto">
          <a:extLst>
            <a:ext uri="{FF2B5EF4-FFF2-40B4-BE49-F238E27FC236}">
              <a16:creationId xmlns:a16="http://schemas.microsoft.com/office/drawing/2014/main" id="{297BE743-1A2C-4C51-8304-16B6DD5E1650}"/>
            </a:ext>
          </a:extLst>
        </xdr:cNvPr>
        <xdr:cNvCxnSpPr/>
      </xdr:nvCxnSpPr>
      <xdr:spPr>
        <a:xfrm>
          <a:off x="12956382" y="3714750"/>
          <a:ext cx="9525" cy="1085850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669127</xdr:colOff>
      <xdr:row>18</xdr:row>
      <xdr:rowOff>0</xdr:rowOff>
    </xdr:from>
    <xdr:to>
      <xdr:col>15</xdr:col>
      <xdr:colOff>669128</xdr:colOff>
      <xdr:row>18</xdr:row>
      <xdr:rowOff>180975</xdr:rowOff>
    </xdr:to>
    <xdr:cxnSp macro="">
      <xdr:nvCxnSpPr>
        <xdr:cNvPr id="8" name="26 Conector recto">
          <a:extLst>
            <a:ext uri="{FF2B5EF4-FFF2-40B4-BE49-F238E27FC236}">
              <a16:creationId xmlns:a16="http://schemas.microsoft.com/office/drawing/2014/main" id="{B97F7666-9E11-459E-9ABF-241213A2960B}"/>
            </a:ext>
          </a:extLst>
        </xdr:cNvPr>
        <xdr:cNvCxnSpPr/>
      </xdr:nvCxnSpPr>
      <xdr:spPr>
        <a:xfrm>
          <a:off x="17709352" y="3714750"/>
          <a:ext cx="1" cy="18097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419100</xdr:colOff>
      <xdr:row>17</xdr:row>
      <xdr:rowOff>0</xdr:rowOff>
    </xdr:from>
    <xdr:to>
      <xdr:col>14</xdr:col>
      <xdr:colOff>419101</xdr:colOff>
      <xdr:row>17</xdr:row>
      <xdr:rowOff>180975</xdr:rowOff>
    </xdr:to>
    <xdr:cxnSp macro="">
      <xdr:nvCxnSpPr>
        <xdr:cNvPr id="9" name="27 Conector recto">
          <a:extLst>
            <a:ext uri="{FF2B5EF4-FFF2-40B4-BE49-F238E27FC236}">
              <a16:creationId xmlns:a16="http://schemas.microsoft.com/office/drawing/2014/main" id="{16AA5CD3-8131-4359-AA72-3CF99595211F}"/>
            </a:ext>
          </a:extLst>
        </xdr:cNvPr>
        <xdr:cNvCxnSpPr/>
      </xdr:nvCxnSpPr>
      <xdr:spPr>
        <a:xfrm>
          <a:off x="16278225" y="3514725"/>
          <a:ext cx="1" cy="18097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559593</xdr:colOff>
      <xdr:row>13</xdr:row>
      <xdr:rowOff>-1</xdr:rowOff>
    </xdr:from>
    <xdr:to>
      <xdr:col>13</xdr:col>
      <xdr:colOff>404812</xdr:colOff>
      <xdr:row>13</xdr:row>
      <xdr:rowOff>0</xdr:rowOff>
    </xdr:to>
    <xdr:cxnSp macro="">
      <xdr:nvCxnSpPr>
        <xdr:cNvPr id="10" name="28 Conector recto">
          <a:extLst>
            <a:ext uri="{FF2B5EF4-FFF2-40B4-BE49-F238E27FC236}">
              <a16:creationId xmlns:a16="http://schemas.microsoft.com/office/drawing/2014/main" id="{BBA3E018-0D73-4B92-AD00-5FDBD632F334}"/>
            </a:ext>
          </a:extLst>
        </xdr:cNvPr>
        <xdr:cNvCxnSpPr/>
      </xdr:nvCxnSpPr>
      <xdr:spPr>
        <a:xfrm flipV="1">
          <a:off x="7979568" y="2695574"/>
          <a:ext cx="7046119" cy="1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371479</xdr:colOff>
      <xdr:row>13</xdr:row>
      <xdr:rowOff>9525</xdr:rowOff>
    </xdr:from>
    <xdr:to>
      <xdr:col>7</xdr:col>
      <xdr:colOff>371480</xdr:colOff>
      <xdr:row>13</xdr:row>
      <xdr:rowOff>190500</xdr:rowOff>
    </xdr:to>
    <xdr:cxnSp macro="">
      <xdr:nvCxnSpPr>
        <xdr:cNvPr id="11" name="29 Conector recto">
          <a:extLst>
            <a:ext uri="{FF2B5EF4-FFF2-40B4-BE49-F238E27FC236}">
              <a16:creationId xmlns:a16="http://schemas.microsoft.com/office/drawing/2014/main" id="{319C91F0-4735-4E1D-A8CD-45D8CDD80B08}"/>
            </a:ext>
          </a:extLst>
        </xdr:cNvPr>
        <xdr:cNvCxnSpPr/>
      </xdr:nvCxnSpPr>
      <xdr:spPr>
        <a:xfrm>
          <a:off x="7791454" y="2705100"/>
          <a:ext cx="1" cy="18097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409578</xdr:colOff>
      <xdr:row>12</xdr:row>
      <xdr:rowOff>180975</xdr:rowOff>
    </xdr:from>
    <xdr:to>
      <xdr:col>12</xdr:col>
      <xdr:colOff>409579</xdr:colOff>
      <xdr:row>13</xdr:row>
      <xdr:rowOff>171450</xdr:rowOff>
    </xdr:to>
    <xdr:cxnSp macro="">
      <xdr:nvCxnSpPr>
        <xdr:cNvPr id="12" name="30 Conector recto">
          <a:extLst>
            <a:ext uri="{FF2B5EF4-FFF2-40B4-BE49-F238E27FC236}">
              <a16:creationId xmlns:a16="http://schemas.microsoft.com/office/drawing/2014/main" id="{923F364F-97BB-4911-AD08-D595F62CE203}"/>
            </a:ext>
          </a:extLst>
        </xdr:cNvPr>
        <xdr:cNvCxnSpPr/>
      </xdr:nvCxnSpPr>
      <xdr:spPr>
        <a:xfrm>
          <a:off x="13792203" y="2676525"/>
          <a:ext cx="1" cy="190500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742950</xdr:colOff>
      <xdr:row>12</xdr:row>
      <xdr:rowOff>9525</xdr:rowOff>
    </xdr:from>
    <xdr:to>
      <xdr:col>9</xdr:col>
      <xdr:colOff>742951</xdr:colOff>
      <xdr:row>13</xdr:row>
      <xdr:rowOff>0</xdr:rowOff>
    </xdr:to>
    <xdr:cxnSp macro="">
      <xdr:nvCxnSpPr>
        <xdr:cNvPr id="13" name="31 Conector recto">
          <a:extLst>
            <a:ext uri="{FF2B5EF4-FFF2-40B4-BE49-F238E27FC236}">
              <a16:creationId xmlns:a16="http://schemas.microsoft.com/office/drawing/2014/main" id="{7BB2F12C-BF0E-4D39-9029-4DF59AEE598A}"/>
            </a:ext>
          </a:extLst>
        </xdr:cNvPr>
        <xdr:cNvCxnSpPr/>
      </xdr:nvCxnSpPr>
      <xdr:spPr>
        <a:xfrm>
          <a:off x="10525125" y="2505075"/>
          <a:ext cx="1" cy="190500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590550</xdr:colOff>
      <xdr:row>12</xdr:row>
      <xdr:rowOff>171450</xdr:rowOff>
    </xdr:from>
    <xdr:to>
      <xdr:col>5</xdr:col>
      <xdr:colOff>790575</xdr:colOff>
      <xdr:row>13</xdr:row>
      <xdr:rowOff>0</xdr:rowOff>
    </xdr:to>
    <xdr:cxnSp macro="">
      <xdr:nvCxnSpPr>
        <xdr:cNvPr id="14" name="32 Conector recto">
          <a:extLst>
            <a:ext uri="{FF2B5EF4-FFF2-40B4-BE49-F238E27FC236}">
              <a16:creationId xmlns:a16="http://schemas.microsoft.com/office/drawing/2014/main" id="{70F9E687-5C75-4F2F-8DB4-B9DB7705DD9A}"/>
            </a:ext>
          </a:extLst>
        </xdr:cNvPr>
        <xdr:cNvCxnSpPr/>
      </xdr:nvCxnSpPr>
      <xdr:spPr>
        <a:xfrm flipV="1">
          <a:off x="3086100" y="2667000"/>
          <a:ext cx="2762250" cy="2857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547685</xdr:colOff>
      <xdr:row>13</xdr:row>
      <xdr:rowOff>11906</xdr:rowOff>
    </xdr:from>
    <xdr:to>
      <xdr:col>7</xdr:col>
      <xdr:colOff>547686</xdr:colOff>
      <xdr:row>13</xdr:row>
      <xdr:rowOff>192881</xdr:rowOff>
    </xdr:to>
    <xdr:cxnSp macro="">
      <xdr:nvCxnSpPr>
        <xdr:cNvPr id="15" name="33 Conector recto">
          <a:extLst>
            <a:ext uri="{FF2B5EF4-FFF2-40B4-BE49-F238E27FC236}">
              <a16:creationId xmlns:a16="http://schemas.microsoft.com/office/drawing/2014/main" id="{B023FC5C-44B6-418A-AA01-3DD7C54B348A}"/>
            </a:ext>
          </a:extLst>
        </xdr:cNvPr>
        <xdr:cNvCxnSpPr/>
      </xdr:nvCxnSpPr>
      <xdr:spPr>
        <a:xfrm>
          <a:off x="7967660" y="2707481"/>
          <a:ext cx="1" cy="18097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13</xdr:row>
      <xdr:rowOff>9525</xdr:rowOff>
    </xdr:from>
    <xdr:to>
      <xdr:col>3</xdr:col>
      <xdr:colOff>600076</xdr:colOff>
      <xdr:row>13</xdr:row>
      <xdr:rowOff>190500</xdr:rowOff>
    </xdr:to>
    <xdr:cxnSp macro="">
      <xdr:nvCxnSpPr>
        <xdr:cNvPr id="16" name="34 Conector recto">
          <a:extLst>
            <a:ext uri="{FF2B5EF4-FFF2-40B4-BE49-F238E27FC236}">
              <a16:creationId xmlns:a16="http://schemas.microsoft.com/office/drawing/2014/main" id="{F3E23899-E712-46D2-B4CD-36CA0E029899}"/>
            </a:ext>
          </a:extLst>
        </xdr:cNvPr>
        <xdr:cNvCxnSpPr/>
      </xdr:nvCxnSpPr>
      <xdr:spPr>
        <a:xfrm>
          <a:off x="3095625" y="2705100"/>
          <a:ext cx="1" cy="18097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762000</xdr:colOff>
      <xdr:row>11</xdr:row>
      <xdr:rowOff>190500</xdr:rowOff>
    </xdr:from>
    <xdr:to>
      <xdr:col>5</xdr:col>
      <xdr:colOff>762001</xdr:colOff>
      <xdr:row>12</xdr:row>
      <xdr:rowOff>171450</xdr:rowOff>
    </xdr:to>
    <xdr:cxnSp macro="">
      <xdr:nvCxnSpPr>
        <xdr:cNvPr id="17" name="35 Conector recto">
          <a:extLst>
            <a:ext uri="{FF2B5EF4-FFF2-40B4-BE49-F238E27FC236}">
              <a16:creationId xmlns:a16="http://schemas.microsoft.com/office/drawing/2014/main" id="{958F1FF2-435E-43FF-8C79-0BC8C4E0E6BF}"/>
            </a:ext>
          </a:extLst>
        </xdr:cNvPr>
        <xdr:cNvCxnSpPr/>
      </xdr:nvCxnSpPr>
      <xdr:spPr>
        <a:xfrm>
          <a:off x="5819775" y="2476500"/>
          <a:ext cx="1" cy="190500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631031</xdr:colOff>
      <xdr:row>7</xdr:row>
      <xdr:rowOff>152400</xdr:rowOff>
    </xdr:from>
    <xdr:to>
      <xdr:col>14</xdr:col>
      <xdr:colOff>628650</xdr:colOff>
      <xdr:row>7</xdr:row>
      <xdr:rowOff>166687</xdr:rowOff>
    </xdr:to>
    <xdr:cxnSp macro="">
      <xdr:nvCxnSpPr>
        <xdr:cNvPr id="18" name="36 Conector recto">
          <a:extLst>
            <a:ext uri="{FF2B5EF4-FFF2-40B4-BE49-F238E27FC236}">
              <a16:creationId xmlns:a16="http://schemas.microsoft.com/office/drawing/2014/main" id="{6C4FDFA0-25AD-4A5D-B60D-5A9EB08B0EEE}"/>
            </a:ext>
          </a:extLst>
        </xdr:cNvPr>
        <xdr:cNvCxnSpPr/>
      </xdr:nvCxnSpPr>
      <xdr:spPr>
        <a:xfrm flipV="1">
          <a:off x="4421981" y="1619250"/>
          <a:ext cx="12065794" cy="14287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614361</xdr:colOff>
      <xdr:row>7</xdr:row>
      <xdr:rowOff>180975</xdr:rowOff>
    </xdr:from>
    <xdr:to>
      <xdr:col>4</xdr:col>
      <xdr:colOff>614362</xdr:colOff>
      <xdr:row>8</xdr:row>
      <xdr:rowOff>171450</xdr:rowOff>
    </xdr:to>
    <xdr:cxnSp macro="">
      <xdr:nvCxnSpPr>
        <xdr:cNvPr id="19" name="38 Conector recto">
          <a:extLst>
            <a:ext uri="{FF2B5EF4-FFF2-40B4-BE49-F238E27FC236}">
              <a16:creationId xmlns:a16="http://schemas.microsoft.com/office/drawing/2014/main" id="{2DF4FD58-F686-47FA-9782-6C3DA3C0D96D}"/>
            </a:ext>
          </a:extLst>
        </xdr:cNvPr>
        <xdr:cNvCxnSpPr/>
      </xdr:nvCxnSpPr>
      <xdr:spPr>
        <a:xfrm>
          <a:off x="4405311" y="1647825"/>
          <a:ext cx="1" cy="190500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619125</xdr:colOff>
      <xdr:row>7</xdr:row>
      <xdr:rowOff>171450</xdr:rowOff>
    </xdr:from>
    <xdr:to>
      <xdr:col>14</xdr:col>
      <xdr:colOff>619126</xdr:colOff>
      <xdr:row>8</xdr:row>
      <xdr:rowOff>161925</xdr:rowOff>
    </xdr:to>
    <xdr:cxnSp macro="">
      <xdr:nvCxnSpPr>
        <xdr:cNvPr id="20" name="41 Conector recto">
          <a:extLst>
            <a:ext uri="{FF2B5EF4-FFF2-40B4-BE49-F238E27FC236}">
              <a16:creationId xmlns:a16="http://schemas.microsoft.com/office/drawing/2014/main" id="{0A497434-8988-4D2E-9C5A-0F2A0D5D4FD7}"/>
            </a:ext>
          </a:extLst>
        </xdr:cNvPr>
        <xdr:cNvCxnSpPr/>
      </xdr:nvCxnSpPr>
      <xdr:spPr>
        <a:xfrm>
          <a:off x="16478250" y="1638300"/>
          <a:ext cx="1" cy="190500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559599</xdr:colOff>
      <xdr:row>5</xdr:row>
      <xdr:rowOff>9525</xdr:rowOff>
    </xdr:from>
    <xdr:to>
      <xdr:col>9</xdr:col>
      <xdr:colOff>559600</xdr:colOff>
      <xdr:row>6</xdr:row>
      <xdr:rowOff>0</xdr:rowOff>
    </xdr:to>
    <xdr:cxnSp macro="">
      <xdr:nvCxnSpPr>
        <xdr:cNvPr id="21" name="45 Conector recto">
          <a:extLst>
            <a:ext uri="{FF2B5EF4-FFF2-40B4-BE49-F238E27FC236}">
              <a16:creationId xmlns:a16="http://schemas.microsoft.com/office/drawing/2014/main" id="{25E82933-42EB-4564-BC2E-DC2E76FB24B7}"/>
            </a:ext>
          </a:extLst>
        </xdr:cNvPr>
        <xdr:cNvCxnSpPr/>
      </xdr:nvCxnSpPr>
      <xdr:spPr>
        <a:xfrm>
          <a:off x="10341774" y="1057275"/>
          <a:ext cx="1" cy="20002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561978</xdr:colOff>
      <xdr:row>13</xdr:row>
      <xdr:rowOff>3</xdr:rowOff>
    </xdr:from>
    <xdr:to>
      <xdr:col>13</xdr:col>
      <xdr:colOff>561979</xdr:colOff>
      <xdr:row>13</xdr:row>
      <xdr:rowOff>180978</xdr:rowOff>
    </xdr:to>
    <xdr:cxnSp macro="">
      <xdr:nvCxnSpPr>
        <xdr:cNvPr id="22" name="30 Conector recto">
          <a:extLst>
            <a:ext uri="{FF2B5EF4-FFF2-40B4-BE49-F238E27FC236}">
              <a16:creationId xmlns:a16="http://schemas.microsoft.com/office/drawing/2014/main" id="{9B49764C-961A-46EC-B1A8-D54A666B4A97}"/>
            </a:ext>
          </a:extLst>
        </xdr:cNvPr>
        <xdr:cNvCxnSpPr/>
      </xdr:nvCxnSpPr>
      <xdr:spPr>
        <a:xfrm>
          <a:off x="15182853" y="2695578"/>
          <a:ext cx="1" cy="18097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464347</xdr:colOff>
      <xdr:row>13</xdr:row>
      <xdr:rowOff>9528</xdr:rowOff>
    </xdr:from>
    <xdr:to>
      <xdr:col>17</xdr:col>
      <xdr:colOff>464348</xdr:colOff>
      <xdr:row>13</xdr:row>
      <xdr:rowOff>190503</xdr:rowOff>
    </xdr:to>
    <xdr:cxnSp macro="">
      <xdr:nvCxnSpPr>
        <xdr:cNvPr id="23" name="30 Conector recto">
          <a:extLst>
            <a:ext uri="{FF2B5EF4-FFF2-40B4-BE49-F238E27FC236}">
              <a16:creationId xmlns:a16="http://schemas.microsoft.com/office/drawing/2014/main" id="{41E41DE2-17D3-4271-916A-0F19B5343CB7}"/>
            </a:ext>
          </a:extLst>
        </xdr:cNvPr>
        <xdr:cNvCxnSpPr/>
      </xdr:nvCxnSpPr>
      <xdr:spPr>
        <a:xfrm>
          <a:off x="20152522" y="2705103"/>
          <a:ext cx="1" cy="18097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365011</xdr:colOff>
      <xdr:row>13</xdr:row>
      <xdr:rowOff>11226</xdr:rowOff>
    </xdr:from>
    <xdr:to>
      <xdr:col>17</xdr:col>
      <xdr:colOff>435428</xdr:colOff>
      <xdr:row>13</xdr:row>
      <xdr:rowOff>27214</xdr:rowOff>
    </xdr:to>
    <xdr:cxnSp macro="">
      <xdr:nvCxnSpPr>
        <xdr:cNvPr id="24" name="28 Conector recto">
          <a:extLst>
            <a:ext uri="{FF2B5EF4-FFF2-40B4-BE49-F238E27FC236}">
              <a16:creationId xmlns:a16="http://schemas.microsoft.com/office/drawing/2014/main" id="{28F0DB7C-FF03-4CEB-833D-54D561BA2D0E}"/>
            </a:ext>
          </a:extLst>
        </xdr:cNvPr>
        <xdr:cNvCxnSpPr/>
      </xdr:nvCxnSpPr>
      <xdr:spPr>
        <a:xfrm>
          <a:off x="14985886" y="2706801"/>
          <a:ext cx="5137717" cy="15988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526256</xdr:colOff>
      <xdr:row>12</xdr:row>
      <xdr:rowOff>2381</xdr:rowOff>
    </xdr:from>
    <xdr:to>
      <xdr:col>15</xdr:col>
      <xdr:colOff>526257</xdr:colOff>
      <xdr:row>12</xdr:row>
      <xdr:rowOff>183356</xdr:rowOff>
    </xdr:to>
    <xdr:cxnSp macro="">
      <xdr:nvCxnSpPr>
        <xdr:cNvPr id="25" name="31 Conector recto">
          <a:extLst>
            <a:ext uri="{FF2B5EF4-FFF2-40B4-BE49-F238E27FC236}">
              <a16:creationId xmlns:a16="http://schemas.microsoft.com/office/drawing/2014/main" id="{5539D999-E21E-4E3B-BF72-C3611DFAC6C5}"/>
            </a:ext>
          </a:extLst>
        </xdr:cNvPr>
        <xdr:cNvCxnSpPr/>
      </xdr:nvCxnSpPr>
      <xdr:spPr>
        <a:xfrm>
          <a:off x="17566481" y="2497931"/>
          <a:ext cx="1" cy="18097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762000</xdr:colOff>
      <xdr:row>11</xdr:row>
      <xdr:rowOff>190500</xdr:rowOff>
    </xdr:from>
    <xdr:to>
      <xdr:col>7</xdr:col>
      <xdr:colOff>361950</xdr:colOff>
      <xdr:row>13</xdr:row>
      <xdr:rowOff>19050</xdr:rowOff>
    </xdr:to>
    <xdr:cxnSp macro="">
      <xdr:nvCxnSpPr>
        <xdr:cNvPr id="26" name="35 Conector recto">
          <a:extLst>
            <a:ext uri="{FF2B5EF4-FFF2-40B4-BE49-F238E27FC236}">
              <a16:creationId xmlns:a16="http://schemas.microsoft.com/office/drawing/2014/main" id="{5F6A7DA4-DA87-4CE6-AE99-40FD1C28C433}"/>
            </a:ext>
          </a:extLst>
        </xdr:cNvPr>
        <xdr:cNvCxnSpPr/>
      </xdr:nvCxnSpPr>
      <xdr:spPr>
        <a:xfrm>
          <a:off x="7000875" y="2476500"/>
          <a:ext cx="781050" cy="23812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EFF/2025%20Estados%20Financieros%20Servicio%20Tecnico%20Montacargas%20STM%20SAS%202025D.xlsx" TargetMode="External"/><Relationship Id="rId2" Type="http://schemas.openxmlformats.org/officeDocument/2006/relationships/externalLinkPath" Target="file:///D:\Mi_Google_Drive\Mi%20unidad\Servicio%20Tecnico%20Montacargas\EEFF\2025%20Estados%20Financieros%20Servicio%20Tecnico%20Montacargas%20STM%20SAS%202025D.xlsx" TargetMode="External"/><Relationship Id="rId1" Type="http://schemas.openxmlformats.org/officeDocument/2006/relationships/externalLinkPath" Target="/Mi_Google_Drive/Mi%20unidad/Servicio%20Tecnico%20Montacargas/EEFF/2025%20Estados%20Financieros%20Servicio%20Tecnico%20Montacargas%20STM%20SAS%202025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EFF X Año 25"/>
      <sheetName val="Dupont"/>
      <sheetName val="Indicadores "/>
      <sheetName val="Indica"/>
      <sheetName val="Analis EEF"/>
      <sheetName val="Inc Patrimonial 25"/>
      <sheetName val="EEFF 25"/>
      <sheetName val="Aux 25"/>
      <sheetName val="Aux 25 (2)"/>
      <sheetName val="Notas 25"/>
      <sheetName val="EEFF 24"/>
      <sheetName val="EEFF 24 (2)"/>
      <sheetName val="EEFF 24 (3)"/>
      <sheetName val="Aux 24"/>
      <sheetName val="Notas 24"/>
      <sheetName val="Dividendos"/>
      <sheetName val="Inc Patrimonial"/>
      <sheetName val="EEFF 23"/>
      <sheetName val="Notas 23"/>
      <sheetName val="Aux 23"/>
      <sheetName val="EEFF 22 "/>
      <sheetName val="Aux 22"/>
      <sheetName val="Notas 22"/>
      <sheetName val="EEFF 22 3T"/>
      <sheetName val="Aux 22 3T"/>
      <sheetName val="22 2T"/>
      <sheetName val="Aux 22 2T"/>
      <sheetName val="EEFF 22 1T"/>
      <sheetName val="EEFF 21  BA"/>
      <sheetName val="Notas 21"/>
      <sheetName val="EEFF 21"/>
      <sheetName val="EEFF 20 BA"/>
      <sheetName val="Notas 20"/>
      <sheetName val="BG 2021"/>
      <sheetName val="ER 2021"/>
      <sheetName val="BG 2022"/>
      <sheetName val="ER 2022"/>
      <sheetName val="EEFF 20"/>
      <sheetName val="EEFF 19"/>
      <sheetName val="EEFF 18"/>
      <sheetName val="2018"/>
      <sheetName val="EEFF 17 "/>
      <sheetName val="2017"/>
      <sheetName val="EEFF 16"/>
      <sheetName val="BG 2020"/>
      <sheetName val="ER 2020"/>
      <sheetName val="BG 2019"/>
      <sheetName val="ER 2019"/>
      <sheetName val="EEFF X Año"/>
      <sheetName val="EEFF X Año (2)"/>
      <sheetName val="Inf Rendicion"/>
      <sheetName val="Inf Rendicion (2)"/>
    </sheetNames>
    <sheetDataSet>
      <sheetData sheetId="0">
        <row r="9">
          <cell r="M9">
            <v>108690538.26000001</v>
          </cell>
          <cell r="N9">
            <v>103155102.56</v>
          </cell>
          <cell r="O9">
            <v>81778096.900000006</v>
          </cell>
          <cell r="P9">
            <v>45044671</v>
          </cell>
        </row>
        <row r="11">
          <cell r="M11">
            <v>393077900.60000002</v>
          </cell>
          <cell r="N11">
            <v>199971537.5</v>
          </cell>
          <cell r="O11">
            <v>231412370.40000001</v>
          </cell>
          <cell r="P11">
            <v>365794941</v>
          </cell>
        </row>
        <row r="12">
          <cell r="M12">
            <v>196548225.09000003</v>
          </cell>
          <cell r="N12">
            <v>173016446.54000002</v>
          </cell>
          <cell r="O12">
            <v>174304465.43999997</v>
          </cell>
          <cell r="P12">
            <v>209625823</v>
          </cell>
        </row>
        <row r="13">
          <cell r="M13">
            <v>298285297.83999997</v>
          </cell>
          <cell r="N13">
            <v>464258254.66000003</v>
          </cell>
          <cell r="O13">
            <v>833232899.40999997</v>
          </cell>
          <cell r="P13">
            <v>389741958</v>
          </cell>
        </row>
        <row r="14">
          <cell r="M14">
            <v>996601961.78999996</v>
          </cell>
          <cell r="N14">
            <v>976401341.25999999</v>
          </cell>
          <cell r="O14">
            <v>1325557430.1500001</v>
          </cell>
          <cell r="P14">
            <v>1015036991</v>
          </cell>
        </row>
        <row r="28">
          <cell r="M28">
            <v>2605267572.8600001</v>
          </cell>
          <cell r="N28">
            <v>3140719377.2199998</v>
          </cell>
          <cell r="O28">
            <v>3252454121.2199998</v>
          </cell>
          <cell r="P28">
            <v>3945330292</v>
          </cell>
        </row>
        <row r="74">
          <cell r="M74">
            <v>2099148884.8842001</v>
          </cell>
          <cell r="N74">
            <v>2380749680.1000004</v>
          </cell>
          <cell r="O74">
            <v>2631210226.6700001</v>
          </cell>
          <cell r="P74">
            <v>2942939206</v>
          </cell>
        </row>
        <row r="82">
          <cell r="M82">
            <v>2719156416.54</v>
          </cell>
          <cell r="N82">
            <v>3088393127.71</v>
          </cell>
          <cell r="O82">
            <v>3355074350</v>
          </cell>
          <cell r="P82">
            <v>3391945666</v>
          </cell>
        </row>
        <row r="94">
          <cell r="M94">
            <v>1279568858.0999999</v>
          </cell>
          <cell r="N94">
            <v>1617171772.6399999</v>
          </cell>
          <cell r="O94">
            <v>1551892202</v>
          </cell>
          <cell r="P94">
            <v>1689389387</v>
          </cell>
        </row>
        <row r="108">
          <cell r="M108">
            <v>761879878.31000006</v>
          </cell>
          <cell r="N108">
            <v>907035490.13999999</v>
          </cell>
          <cell r="O108">
            <v>1057338782.3799999</v>
          </cell>
          <cell r="P108">
            <v>985367994</v>
          </cell>
        </row>
        <row r="114">
          <cell r="M114">
            <v>62792390</v>
          </cell>
          <cell r="N114">
            <v>240122872.28999999</v>
          </cell>
          <cell r="O114">
            <v>48185116.450000003</v>
          </cell>
          <cell r="P114">
            <v>68232457</v>
          </cell>
        </row>
        <row r="119">
          <cell r="M119">
            <v>228412305.63</v>
          </cell>
          <cell r="N119">
            <v>371076743.86999995</v>
          </cell>
          <cell r="O119">
            <v>408704564.27000004</v>
          </cell>
          <cell r="P119">
            <v>365042760</v>
          </cell>
        </row>
        <row r="130">
          <cell r="M130">
            <v>158747206.995</v>
          </cell>
          <cell r="N130">
            <v>151631198.13</v>
          </cell>
          <cell r="O130">
            <v>134863371.23000002</v>
          </cell>
          <cell r="P130">
            <v>108649000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4E400-6D5E-4479-AAE9-A0066AD30913}">
  <dimension ref="A1:BY138"/>
  <sheetViews>
    <sheetView tabSelected="1" workbookViewId="0">
      <selection activeCell="C8" sqref="C8"/>
    </sheetView>
  </sheetViews>
  <sheetFormatPr baseColWidth="10" defaultRowHeight="15.75" x14ac:dyDescent="0.25"/>
  <cols>
    <col min="1" max="1" width="2.28515625" style="3" customWidth="1"/>
    <col min="2" max="2" width="17.42578125" style="3" customWidth="1"/>
    <col min="3" max="3" width="17.7109375" style="3" customWidth="1"/>
    <col min="4" max="4" width="19.42578125" style="1" customWidth="1"/>
    <col min="5" max="5" width="19" style="1" customWidth="1"/>
    <col min="6" max="11" width="17.7109375" style="1" customWidth="1"/>
    <col min="12" max="14" width="18.5703125" style="1" customWidth="1"/>
    <col min="15" max="15" width="17.7109375" style="1" customWidth="1"/>
    <col min="16" max="16" width="20.5703125" style="1" customWidth="1"/>
    <col min="17" max="17" width="19.140625" style="3" customWidth="1"/>
    <col min="18" max="19" width="17.5703125" style="3" customWidth="1"/>
    <col min="20" max="21" width="19" style="3" customWidth="1"/>
    <col min="22" max="77" width="11.42578125" style="3"/>
    <col min="78" max="16384" width="11.42578125" style="1"/>
  </cols>
  <sheetData>
    <row r="1" spans="1:21" ht="18.75" customHeight="1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21" ht="15.75" customHeight="1" thickBot="1" x14ac:dyDescent="0.3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21" x14ac:dyDescent="0.25">
      <c r="D3" s="3"/>
      <c r="E3" s="3"/>
      <c r="F3" s="3"/>
      <c r="G3" s="3"/>
      <c r="H3" s="3"/>
      <c r="I3" s="5" t="s">
        <v>1</v>
      </c>
      <c r="J3" s="6"/>
      <c r="K3" s="7"/>
      <c r="L3" s="8"/>
      <c r="M3" s="3"/>
      <c r="N3" s="3"/>
      <c r="O3" s="3"/>
      <c r="P3" s="3"/>
    </row>
    <row r="4" spans="1:21" x14ac:dyDescent="0.25">
      <c r="D4" s="3"/>
      <c r="E4" s="3"/>
      <c r="F4" s="3"/>
      <c r="G4" s="3"/>
      <c r="H4" s="3"/>
      <c r="I4" s="9">
        <v>2022</v>
      </c>
      <c r="J4" s="10">
        <v>2023</v>
      </c>
      <c r="K4" s="11">
        <v>2024</v>
      </c>
      <c r="L4" s="11">
        <v>2025</v>
      </c>
      <c r="M4" s="3"/>
      <c r="N4" s="3"/>
      <c r="O4" s="3"/>
      <c r="P4" s="3"/>
    </row>
    <row r="5" spans="1:21" ht="16.5" thickBot="1" x14ac:dyDescent="0.3">
      <c r="D5" s="3"/>
      <c r="E5" s="3"/>
      <c r="F5" s="3"/>
      <c r="G5" s="3"/>
      <c r="H5" s="3"/>
      <c r="I5" s="12">
        <f>+D12*I12*O12</f>
        <v>0.16832562952031496</v>
      </c>
      <c r="J5" s="13">
        <f>+E12*J12*P12</f>
        <v>0.11828240388891786</v>
      </c>
      <c r="K5" s="14">
        <f>+F12*K12*Q12</f>
        <v>9.5188344903545358E-2</v>
      </c>
      <c r="L5" s="14">
        <f>+G12*L12*R12</f>
        <v>0.10592437022295732</v>
      </c>
      <c r="M5" s="3"/>
      <c r="N5" s="3"/>
      <c r="O5" s="3"/>
      <c r="P5" s="3"/>
    </row>
    <row r="6" spans="1:21" ht="16.5" thickBot="1" x14ac:dyDescent="0.3"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21" ht="16.5" thickBot="1" x14ac:dyDescent="0.3">
      <c r="D7" s="3"/>
      <c r="E7" s="3"/>
      <c r="F7" s="3"/>
      <c r="G7" s="3"/>
      <c r="H7" s="3"/>
      <c r="I7" s="3"/>
      <c r="J7" s="15" t="s">
        <v>2</v>
      </c>
      <c r="K7" s="16"/>
      <c r="L7" s="16"/>
      <c r="M7" s="3"/>
      <c r="N7" s="3"/>
      <c r="O7" s="3"/>
      <c r="P7" s="3"/>
    </row>
    <row r="8" spans="1:21" x14ac:dyDescent="0.25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21" ht="16.5" thickBot="1" x14ac:dyDescent="0.3"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21" s="3" customFormat="1" ht="16.5" thickBot="1" x14ac:dyDescent="0.3">
      <c r="D10" s="17" t="s">
        <v>3</v>
      </c>
      <c r="E10" s="18"/>
      <c r="F10" s="18"/>
      <c r="G10" s="19"/>
      <c r="I10" s="20" t="s">
        <v>4</v>
      </c>
      <c r="J10" s="21" t="s">
        <v>5</v>
      </c>
      <c r="K10" s="22"/>
      <c r="L10" s="23"/>
      <c r="M10" s="24" t="s">
        <v>6</v>
      </c>
      <c r="N10" s="24"/>
      <c r="O10" s="25" t="s">
        <v>7</v>
      </c>
      <c r="P10" s="26"/>
      <c r="Q10" s="26"/>
      <c r="R10" s="27"/>
    </row>
    <row r="11" spans="1:21" s="3" customFormat="1" x14ac:dyDescent="0.25">
      <c r="D11" s="28">
        <v>2022</v>
      </c>
      <c r="E11" s="29">
        <v>2023</v>
      </c>
      <c r="F11" s="30">
        <v>2024</v>
      </c>
      <c r="G11" s="30">
        <v>2025</v>
      </c>
      <c r="I11" s="28">
        <v>2022</v>
      </c>
      <c r="J11" s="29">
        <v>2023</v>
      </c>
      <c r="K11" s="30">
        <v>2024</v>
      </c>
      <c r="L11" s="30">
        <v>2025</v>
      </c>
      <c r="M11" s="31"/>
      <c r="N11" s="31"/>
      <c r="O11" s="32">
        <v>2022</v>
      </c>
      <c r="P11" s="33">
        <v>2023</v>
      </c>
      <c r="Q11" s="34">
        <v>2024</v>
      </c>
      <c r="R11" s="34">
        <v>2025</v>
      </c>
    </row>
    <row r="12" spans="1:21" s="3" customFormat="1" ht="16.5" thickBot="1" x14ac:dyDescent="0.3">
      <c r="D12" s="35">
        <f>+B17/H17</f>
        <v>0.12701188342299558</v>
      </c>
      <c r="E12" s="36">
        <f>+C17/I17</f>
        <v>8.4602506107827116E-2</v>
      </c>
      <c r="F12" s="37">
        <f>+D17/J17</f>
        <v>7.3594314227019411E-2</v>
      </c>
      <c r="G12" s="37">
        <f>+E17/K17</f>
        <v>9.0090443589571245E-2</v>
      </c>
      <c r="I12" s="35">
        <f>+H17/M17</f>
        <v>0.77236245782298352</v>
      </c>
      <c r="J12" s="36">
        <f>+I17/N17</f>
        <v>0.80845722717327928</v>
      </c>
      <c r="K12" s="37">
        <f>+J17/O17</f>
        <v>0.74339250311230698</v>
      </c>
      <c r="L12" s="37">
        <f>+K17/P17</f>
        <v>0.69756490307856911</v>
      </c>
      <c r="M12" s="38"/>
      <c r="N12" s="38"/>
      <c r="O12" s="39">
        <f>+M17/R17</f>
        <v>1.7158713993975219</v>
      </c>
      <c r="P12" s="40">
        <f>+N17/S17</f>
        <v>1.7293379278358509</v>
      </c>
      <c r="Q12" s="41">
        <f>+O17/T17</f>
        <v>1.7398881719777395</v>
      </c>
      <c r="R12" s="41">
        <f>+P17/U17</f>
        <v>1.6855146966294485</v>
      </c>
    </row>
    <row r="13" spans="1:21" s="3" customFormat="1" x14ac:dyDescent="0.25">
      <c r="D13" s="42"/>
      <c r="I13" s="43"/>
    </row>
    <row r="14" spans="1:21" s="3" customFormat="1" ht="16.5" thickBot="1" x14ac:dyDescent="0.3">
      <c r="D14" s="42"/>
      <c r="E14" s="42"/>
    </row>
    <row r="15" spans="1:21" s="3" customFormat="1" x14ac:dyDescent="0.25">
      <c r="B15" s="17" t="s">
        <v>8</v>
      </c>
      <c r="C15" s="18"/>
      <c r="D15" s="18"/>
      <c r="E15" s="19"/>
      <c r="F15" s="44" t="s">
        <v>9</v>
      </c>
      <c r="H15" s="20" t="s">
        <v>10</v>
      </c>
      <c r="I15" s="21"/>
      <c r="J15" s="23"/>
      <c r="K15" s="16"/>
      <c r="L15" s="44" t="s">
        <v>9</v>
      </c>
      <c r="M15" s="45" t="s">
        <v>11</v>
      </c>
      <c r="N15" s="46"/>
      <c r="O15" s="46"/>
      <c r="P15" s="46"/>
      <c r="Q15" s="44" t="s">
        <v>9</v>
      </c>
      <c r="R15" s="17" t="s">
        <v>12</v>
      </c>
      <c r="S15" s="18"/>
      <c r="T15" s="18"/>
      <c r="U15" s="19"/>
    </row>
    <row r="16" spans="1:21" s="3" customFormat="1" x14ac:dyDescent="0.25">
      <c r="B16" s="28">
        <v>2022</v>
      </c>
      <c r="C16" s="29">
        <v>2023</v>
      </c>
      <c r="D16" s="29">
        <v>2024</v>
      </c>
      <c r="E16" s="30">
        <v>2025</v>
      </c>
      <c r="F16" s="44"/>
      <c r="H16" s="28">
        <v>2022</v>
      </c>
      <c r="I16" s="29">
        <v>2023</v>
      </c>
      <c r="J16" s="30">
        <v>2024</v>
      </c>
      <c r="K16" s="30">
        <v>2025</v>
      </c>
      <c r="L16" s="44"/>
      <c r="M16" s="28">
        <v>2022</v>
      </c>
      <c r="N16" s="29">
        <v>2023</v>
      </c>
      <c r="O16" s="30">
        <v>2024</v>
      </c>
      <c r="P16" s="30">
        <v>2025</v>
      </c>
      <c r="Q16" s="44"/>
      <c r="R16" s="28">
        <v>2022</v>
      </c>
      <c r="S16" s="29">
        <v>2023</v>
      </c>
      <c r="T16" s="30">
        <v>2024</v>
      </c>
      <c r="U16" s="30">
        <v>2025</v>
      </c>
    </row>
    <row r="17" spans="2:21" s="3" customFormat="1" ht="16.5" thickBot="1" x14ac:dyDescent="0.3">
      <c r="B17" s="47">
        <f>+H22-B22</f>
        <v>353340557.50500011</v>
      </c>
      <c r="C17" s="48">
        <f>+I22-C22</f>
        <v>281600795.22000027</v>
      </c>
      <c r="D17" s="48">
        <f>+J22-D22</f>
        <v>250460546.56999969</v>
      </c>
      <c r="E17" s="48">
        <f>+K22-E22</f>
        <v>311728982</v>
      </c>
      <c r="F17" s="49"/>
      <c r="H17" s="47">
        <f>+H22</f>
        <v>2781948806.54</v>
      </c>
      <c r="I17" s="50">
        <f>+I22</f>
        <v>3328516000</v>
      </c>
      <c r="J17" s="51">
        <f>+J22</f>
        <v>3403259466.4499998</v>
      </c>
      <c r="K17" s="51">
        <f>+K22</f>
        <v>3460178123</v>
      </c>
      <c r="L17" s="49"/>
      <c r="M17" s="52">
        <f>+J26+O22</f>
        <v>3601869534.6500001</v>
      </c>
      <c r="N17" s="50">
        <f>+K26+P22</f>
        <v>4117120718.4799995</v>
      </c>
      <c r="O17" s="51">
        <f>+L26+Q22</f>
        <v>4578011551.3699999</v>
      </c>
      <c r="P17" s="51">
        <f>+M26+R22</f>
        <v>4960367283</v>
      </c>
      <c r="Q17" s="49"/>
      <c r="R17" s="52">
        <f>+'[1]EEFF X Año 25'!M74</f>
        <v>2099148884.8842001</v>
      </c>
      <c r="S17" s="50">
        <f>+'[1]EEFF X Año 25'!N74</f>
        <v>2380749680.1000004</v>
      </c>
      <c r="T17" s="51">
        <f>+'[1]EEFF X Año 25'!O74</f>
        <v>2631210226.6700001</v>
      </c>
      <c r="U17" s="51">
        <f>+'[1]EEFF X Año 25'!P74</f>
        <v>2942939206</v>
      </c>
    </row>
    <row r="18" spans="2:21" s="3" customFormat="1" x14ac:dyDescent="0.25">
      <c r="F18" s="53"/>
      <c r="G18" s="53"/>
      <c r="H18" s="53"/>
      <c r="I18" s="53"/>
      <c r="L18" s="54"/>
    </row>
    <row r="19" spans="2:21" s="3" customFormat="1" ht="16.5" thickBot="1" x14ac:dyDescent="0.3">
      <c r="F19" s="1"/>
      <c r="G19" s="1"/>
    </row>
    <row r="20" spans="2:21" s="3" customFormat="1" ht="20.25" customHeight="1" x14ac:dyDescent="0.25">
      <c r="B20" s="55" t="s">
        <v>13</v>
      </c>
      <c r="C20" s="56"/>
      <c r="D20" s="56" t="s">
        <v>14</v>
      </c>
      <c r="E20" s="57"/>
      <c r="F20" s="58" t="s">
        <v>15</v>
      </c>
      <c r="G20" s="58"/>
      <c r="H20" s="59" t="s">
        <v>10</v>
      </c>
      <c r="I20" s="60"/>
      <c r="J20" s="60"/>
      <c r="K20" s="61"/>
      <c r="M20" s="54"/>
      <c r="N20" s="62" t="s">
        <v>16</v>
      </c>
      <c r="O20" s="63" t="s">
        <v>17</v>
      </c>
      <c r="P20" s="64"/>
      <c r="Q20" s="64"/>
      <c r="R20" s="64"/>
    </row>
    <row r="21" spans="2:21" s="3" customFormat="1" x14ac:dyDescent="0.25">
      <c r="B21" s="65">
        <v>2022</v>
      </c>
      <c r="C21" s="66">
        <v>2023</v>
      </c>
      <c r="D21" s="66">
        <v>2024</v>
      </c>
      <c r="E21" s="67">
        <v>2025</v>
      </c>
      <c r="F21" s="58"/>
      <c r="G21" s="58"/>
      <c r="H21" s="68">
        <v>2022</v>
      </c>
      <c r="I21" s="69">
        <v>2023</v>
      </c>
      <c r="J21" s="70">
        <v>2024</v>
      </c>
      <c r="K21" s="70">
        <v>2025</v>
      </c>
      <c r="N21" s="62"/>
      <c r="O21" s="71">
        <v>2022</v>
      </c>
      <c r="P21" s="72">
        <v>2023</v>
      </c>
      <c r="Q21" s="73">
        <v>2024</v>
      </c>
      <c r="R21" s="73">
        <v>2025</v>
      </c>
    </row>
    <row r="22" spans="2:21" s="3" customFormat="1" ht="16.5" thickBot="1" x14ac:dyDescent="0.3">
      <c r="B22" s="74">
        <f>+B26+B30+B34+B38</f>
        <v>2428608249.0349998</v>
      </c>
      <c r="C22" s="75">
        <f>+C26+C30+C34+C38</f>
        <v>3046915204.7799997</v>
      </c>
      <c r="D22" s="75">
        <f>+D26+D30+D34+D38</f>
        <v>3152798919.8800001</v>
      </c>
      <c r="E22" s="76">
        <f>+E26+E30+E34+E38</f>
        <v>3148449141</v>
      </c>
      <c r="G22" s="1"/>
      <c r="H22" s="77">
        <f>+'[1]EEFF X Año 25'!M82+'[1]EEFF X Año 25'!M114</f>
        <v>2781948806.54</v>
      </c>
      <c r="I22" s="78">
        <f>+'[1]EEFF X Año 25'!N82+'[1]EEFF X Año 25'!N114</f>
        <v>3328516000</v>
      </c>
      <c r="J22" s="79">
        <f>+'[1]EEFF X Año 25'!O82+'[1]EEFF X Año 25'!O114</f>
        <v>3403259466.4499998</v>
      </c>
      <c r="K22" s="79">
        <f>+'[1]EEFF X Año 25'!P82+'[1]EEFF X Año 25'!P114</f>
        <v>3460178123</v>
      </c>
      <c r="M22" s="54"/>
      <c r="O22" s="80">
        <f>+'[1]EEFF X Año 25'!M14</f>
        <v>996601961.78999996</v>
      </c>
      <c r="P22" s="81">
        <f>+'[1]EEFF X Año 25'!N14</f>
        <v>976401341.25999999</v>
      </c>
      <c r="Q22" s="82">
        <f>+'[1]EEFF X Año 25'!O14</f>
        <v>1325557430.1500001</v>
      </c>
      <c r="R22" s="82">
        <f>+'[1]EEFF X Año 25'!P14</f>
        <v>1015036991</v>
      </c>
    </row>
    <row r="23" spans="2:21" s="3" customFormat="1" ht="16.5" thickBot="1" x14ac:dyDescent="0.3"/>
    <row r="24" spans="2:21" s="3" customFormat="1" x14ac:dyDescent="0.25">
      <c r="B24" s="59" t="s">
        <v>18</v>
      </c>
      <c r="C24" s="60"/>
      <c r="D24" s="60"/>
      <c r="E24" s="61"/>
      <c r="J24" s="83" t="s">
        <v>19</v>
      </c>
      <c r="K24" s="84"/>
      <c r="L24" s="85"/>
      <c r="M24" s="86"/>
      <c r="O24" s="63" t="s">
        <v>20</v>
      </c>
      <c r="P24" s="64"/>
      <c r="Q24" s="64"/>
      <c r="R24" s="64"/>
    </row>
    <row r="25" spans="2:21" s="3" customFormat="1" x14ac:dyDescent="0.25">
      <c r="B25" s="68">
        <v>2022</v>
      </c>
      <c r="C25" s="69">
        <v>2023</v>
      </c>
      <c r="D25" s="69">
        <v>2024</v>
      </c>
      <c r="E25" s="70">
        <v>2025</v>
      </c>
      <c r="J25" s="71">
        <v>2022</v>
      </c>
      <c r="K25" s="72">
        <v>2023</v>
      </c>
      <c r="L25" s="73">
        <v>2024</v>
      </c>
      <c r="M25" s="73">
        <v>2025</v>
      </c>
      <c r="O25" s="71">
        <v>2022</v>
      </c>
      <c r="P25" s="72">
        <v>2023</v>
      </c>
      <c r="Q25" s="73">
        <v>2024</v>
      </c>
      <c r="R25" s="73">
        <v>2025</v>
      </c>
    </row>
    <row r="26" spans="2:21" s="3" customFormat="1" ht="16.5" thickBot="1" x14ac:dyDescent="0.3">
      <c r="B26" s="74">
        <f>+'[1]EEFF X Año 25'!M94</f>
        <v>1279568858.0999999</v>
      </c>
      <c r="C26" s="75">
        <f>+'[1]EEFF X Año 25'!N94</f>
        <v>1617171772.6399999</v>
      </c>
      <c r="D26" s="75">
        <f>+'[1]EEFF X Año 25'!O94</f>
        <v>1551892202</v>
      </c>
      <c r="E26" s="75">
        <f>+'[1]EEFF X Año 25'!P94</f>
        <v>1689389387</v>
      </c>
      <c r="J26" s="80">
        <f>+'[1]EEFF X Año 25'!M28</f>
        <v>2605267572.8600001</v>
      </c>
      <c r="K26" s="81">
        <f>+'[1]EEFF X Año 25'!N28</f>
        <v>3140719377.2199998</v>
      </c>
      <c r="L26" s="82">
        <f>+'[1]EEFF X Año 25'!O28</f>
        <v>3252454121.2199998</v>
      </c>
      <c r="M26" s="82">
        <f>+'[1]EEFF X Año 25'!P28</f>
        <v>3945330292</v>
      </c>
      <c r="O26" s="80">
        <f>+'[1]EEFF X Año 25'!M9</f>
        <v>108690538.26000001</v>
      </c>
      <c r="P26" s="81">
        <f>+'[1]EEFF X Año 25'!N9</f>
        <v>103155102.56</v>
      </c>
      <c r="Q26" s="82">
        <f>+'[1]EEFF X Año 25'!O9</f>
        <v>81778096.900000006</v>
      </c>
      <c r="R26" s="82">
        <f>+'[1]EEFF X Año 25'!P9</f>
        <v>45044671</v>
      </c>
    </row>
    <row r="27" spans="2:21" s="3" customFormat="1" ht="16.5" thickBot="1" x14ac:dyDescent="0.3"/>
    <row r="28" spans="2:21" s="3" customFormat="1" x14ac:dyDescent="0.25">
      <c r="B28" s="59" t="s">
        <v>21</v>
      </c>
      <c r="C28" s="60"/>
      <c r="D28" s="60" t="s">
        <v>14</v>
      </c>
      <c r="E28" s="61"/>
      <c r="O28" s="63" t="s">
        <v>22</v>
      </c>
      <c r="P28" s="64"/>
      <c r="Q28" s="64"/>
      <c r="R28" s="64"/>
    </row>
    <row r="29" spans="2:21" s="3" customFormat="1" x14ac:dyDescent="0.25">
      <c r="B29" s="68">
        <v>2022</v>
      </c>
      <c r="C29" s="69">
        <v>2023</v>
      </c>
      <c r="D29" s="69">
        <v>2024</v>
      </c>
      <c r="E29" s="70">
        <v>2025</v>
      </c>
      <c r="O29" s="71">
        <v>2022</v>
      </c>
      <c r="P29" s="72">
        <v>2023</v>
      </c>
      <c r="Q29" s="73">
        <v>2024</v>
      </c>
      <c r="R29" s="73">
        <v>2025</v>
      </c>
    </row>
    <row r="30" spans="2:21" s="3" customFormat="1" ht="16.5" thickBot="1" x14ac:dyDescent="0.3">
      <c r="B30" s="74">
        <f>+'[1]EEFF X Año 25'!M108</f>
        <v>761879878.31000006</v>
      </c>
      <c r="C30" s="75">
        <f>+'[1]EEFF X Año 25'!N108</f>
        <v>907035490.13999999</v>
      </c>
      <c r="D30" s="75">
        <f>+'[1]EEFF X Año 25'!O108</f>
        <v>1057338782.3799999</v>
      </c>
      <c r="E30" s="75">
        <f>+'[1]EEFF X Año 25'!P108</f>
        <v>985367994</v>
      </c>
      <c r="O30" s="80">
        <f>+'[1]EEFF X Año 25'!M11</f>
        <v>393077900.60000002</v>
      </c>
      <c r="P30" s="81">
        <f>+'[1]EEFF X Año 25'!N11</f>
        <v>199971537.5</v>
      </c>
      <c r="Q30" s="82">
        <f>+'[1]EEFF X Año 25'!O11</f>
        <v>231412370.40000001</v>
      </c>
      <c r="R30" s="82">
        <f>+'[1]EEFF X Año 25'!P11</f>
        <v>365794941</v>
      </c>
    </row>
    <row r="31" spans="2:21" s="3" customFormat="1" ht="16.5" thickBot="1" x14ac:dyDescent="0.3"/>
    <row r="32" spans="2:21" s="3" customFormat="1" x14ac:dyDescent="0.25">
      <c r="B32" s="59" t="s">
        <v>23</v>
      </c>
      <c r="C32" s="60"/>
      <c r="D32" s="60" t="s">
        <v>14</v>
      </c>
      <c r="E32" s="61"/>
      <c r="O32" s="63" t="s">
        <v>24</v>
      </c>
      <c r="P32" s="64"/>
      <c r="Q32" s="64"/>
      <c r="R32" s="64"/>
    </row>
    <row r="33" spans="1:18" s="3" customFormat="1" x14ac:dyDescent="0.25">
      <c r="B33" s="68">
        <v>2022</v>
      </c>
      <c r="C33" s="69">
        <v>2023</v>
      </c>
      <c r="D33" s="69">
        <v>2024</v>
      </c>
      <c r="E33" s="70">
        <v>2025</v>
      </c>
      <c r="O33" s="71">
        <v>2022</v>
      </c>
      <c r="P33" s="72">
        <v>2023</v>
      </c>
      <c r="Q33" s="73">
        <v>2024</v>
      </c>
      <c r="R33" s="73">
        <v>2025</v>
      </c>
    </row>
    <row r="34" spans="1:18" s="3" customFormat="1" ht="16.5" thickBot="1" x14ac:dyDescent="0.3">
      <c r="B34" s="74">
        <f>+'[1]EEFF X Año 25'!M119</f>
        <v>228412305.63</v>
      </c>
      <c r="C34" s="75">
        <f>+'[1]EEFF X Año 25'!N119</f>
        <v>371076743.86999995</v>
      </c>
      <c r="D34" s="75">
        <f>+'[1]EEFF X Año 25'!O119</f>
        <v>408704564.27000004</v>
      </c>
      <c r="E34" s="75">
        <f>+'[1]EEFF X Año 25'!P119</f>
        <v>365042760</v>
      </c>
      <c r="O34" s="80">
        <f>+'[1]EEFF X Año 25'!M13</f>
        <v>298285297.83999997</v>
      </c>
      <c r="P34" s="81">
        <f>+'[1]EEFF X Año 25'!N13</f>
        <v>464258254.66000003</v>
      </c>
      <c r="Q34" s="82">
        <f>+'[1]EEFF X Año 25'!O13</f>
        <v>833232899.40999997</v>
      </c>
      <c r="R34" s="82">
        <f>+'[1]EEFF X Año 25'!P13</f>
        <v>389741958</v>
      </c>
    </row>
    <row r="35" spans="1:18" s="3" customFormat="1" ht="16.5" thickBot="1" x14ac:dyDescent="0.3"/>
    <row r="36" spans="1:18" s="3" customFormat="1" x14ac:dyDescent="0.25">
      <c r="B36" s="59" t="s">
        <v>25</v>
      </c>
      <c r="C36" s="60"/>
      <c r="D36" s="60" t="s">
        <v>14</v>
      </c>
      <c r="E36" s="61"/>
      <c r="O36" s="63" t="s">
        <v>26</v>
      </c>
      <c r="P36" s="64"/>
      <c r="Q36" s="64"/>
      <c r="R36" s="64"/>
    </row>
    <row r="37" spans="1:18" s="3" customFormat="1" x14ac:dyDescent="0.25">
      <c r="B37" s="68">
        <v>2022</v>
      </c>
      <c r="C37" s="69">
        <v>2023</v>
      </c>
      <c r="D37" s="69">
        <v>2024</v>
      </c>
      <c r="E37" s="70">
        <v>2025</v>
      </c>
      <c r="O37" s="71">
        <v>2022</v>
      </c>
      <c r="P37" s="72">
        <v>2023</v>
      </c>
      <c r="Q37" s="73">
        <v>2024</v>
      </c>
      <c r="R37" s="73">
        <v>2025</v>
      </c>
    </row>
    <row r="38" spans="1:18" s="3" customFormat="1" ht="16.5" thickBot="1" x14ac:dyDescent="0.3">
      <c r="A38" s="3">
        <v>54</v>
      </c>
      <c r="B38" s="74">
        <f>+'[1]EEFF X Año 25'!M130</f>
        <v>158747206.995</v>
      </c>
      <c r="C38" s="75">
        <f>+'[1]EEFF X Año 25'!N130</f>
        <v>151631198.13</v>
      </c>
      <c r="D38" s="75">
        <f>+'[1]EEFF X Año 25'!O130</f>
        <v>134863371.23000002</v>
      </c>
      <c r="E38" s="75">
        <f>+'[1]EEFF X Año 25'!P130</f>
        <v>108649000</v>
      </c>
      <c r="O38" s="80">
        <f>+'[1]EEFF X Año 25'!M12</f>
        <v>196548225.09000003</v>
      </c>
      <c r="P38" s="81">
        <f>+'[1]EEFF X Año 25'!N12</f>
        <v>173016446.54000002</v>
      </c>
      <c r="Q38" s="82">
        <f>+'[1]EEFF X Año 25'!O12</f>
        <v>174304465.43999997</v>
      </c>
      <c r="R38" s="82">
        <f>+'[1]EEFF X Año 25'!P12</f>
        <v>209625823</v>
      </c>
    </row>
    <row r="39" spans="1:18" s="3" customFormat="1" x14ac:dyDescent="0.25"/>
    <row r="40" spans="1:18" s="3" customFormat="1" x14ac:dyDescent="0.25"/>
    <row r="41" spans="1:18" s="3" customFormat="1" x14ac:dyDescent="0.25"/>
    <row r="42" spans="1:18" s="3" customFormat="1" x14ac:dyDescent="0.25"/>
    <row r="43" spans="1:18" s="3" customFormat="1" x14ac:dyDescent="0.25"/>
    <row r="44" spans="1:18" s="3" customFormat="1" x14ac:dyDescent="0.25"/>
    <row r="45" spans="1:18" s="3" customFormat="1" x14ac:dyDescent="0.25"/>
    <row r="46" spans="1:18" s="3" customFormat="1" x14ac:dyDescent="0.25"/>
    <row r="47" spans="1:18" s="3" customFormat="1" x14ac:dyDescent="0.25"/>
    <row r="48" spans="1:18" s="3" customFormat="1" x14ac:dyDescent="0.25"/>
    <row r="49" spans="1:3" s="3" customFormat="1" x14ac:dyDescent="0.25"/>
    <row r="50" spans="1:3" s="3" customFormat="1" x14ac:dyDescent="0.25"/>
    <row r="51" spans="1:3" s="3" customFormat="1" x14ac:dyDescent="0.25"/>
    <row r="52" spans="1:3" s="3" customFormat="1" x14ac:dyDescent="0.25"/>
    <row r="53" spans="1:3" s="3" customFormat="1" x14ac:dyDescent="0.25"/>
    <row r="54" spans="1:3" s="3" customFormat="1" x14ac:dyDescent="0.25"/>
    <row r="55" spans="1:3" s="3" customFormat="1" x14ac:dyDescent="0.25"/>
    <row r="56" spans="1:3" s="3" customFormat="1" x14ac:dyDescent="0.25"/>
    <row r="57" spans="1:3" s="3" customFormat="1" x14ac:dyDescent="0.25"/>
    <row r="58" spans="1:3" s="3" customFormat="1" x14ac:dyDescent="0.25"/>
    <row r="59" spans="1:3" s="3" customFormat="1" x14ac:dyDescent="0.25"/>
    <row r="60" spans="1:3" s="3" customFormat="1" x14ac:dyDescent="0.25"/>
    <row r="61" spans="1:3" s="3" customFormat="1" x14ac:dyDescent="0.25"/>
    <row r="62" spans="1:3" s="3" customFormat="1" x14ac:dyDescent="0.25"/>
    <row r="63" spans="1:3" s="3" customFormat="1" x14ac:dyDescent="0.25"/>
    <row r="64" spans="1:3" s="3" customFormat="1" x14ac:dyDescent="0.25">
      <c r="A64" s="1"/>
      <c r="B64" s="1"/>
      <c r="C64" s="1"/>
    </row>
    <row r="65" spans="1:3" s="3" customFormat="1" x14ac:dyDescent="0.25">
      <c r="A65" s="1"/>
      <c r="B65" s="1"/>
      <c r="C65" s="1"/>
    </row>
    <row r="66" spans="1:3" s="3" customFormat="1" x14ac:dyDescent="0.25">
      <c r="A66" s="1"/>
      <c r="B66" s="1"/>
      <c r="C66" s="1"/>
    </row>
    <row r="67" spans="1:3" s="3" customFormat="1" x14ac:dyDescent="0.25">
      <c r="A67" s="1"/>
      <c r="B67" s="1"/>
      <c r="C67" s="1"/>
    </row>
    <row r="68" spans="1:3" s="3" customFormat="1" x14ac:dyDescent="0.25">
      <c r="A68" s="1"/>
      <c r="B68" s="1"/>
      <c r="C68" s="1"/>
    </row>
    <row r="69" spans="1:3" s="3" customFormat="1" x14ac:dyDescent="0.25">
      <c r="A69" s="1"/>
      <c r="B69" s="1"/>
      <c r="C69" s="1"/>
    </row>
    <row r="70" spans="1:3" s="3" customFormat="1" x14ac:dyDescent="0.25">
      <c r="A70" s="1"/>
      <c r="B70" s="1"/>
      <c r="C70" s="1"/>
    </row>
    <row r="71" spans="1:3" s="3" customFormat="1" x14ac:dyDescent="0.25">
      <c r="A71" s="1"/>
      <c r="B71" s="1"/>
      <c r="C71" s="1"/>
    </row>
    <row r="72" spans="1:3" s="3" customFormat="1" x14ac:dyDescent="0.25"/>
    <row r="73" spans="1:3" s="3" customFormat="1" x14ac:dyDescent="0.25"/>
    <row r="74" spans="1:3" s="3" customFormat="1" x14ac:dyDescent="0.25"/>
    <row r="75" spans="1:3" s="3" customFormat="1" x14ac:dyDescent="0.25"/>
    <row r="76" spans="1:3" s="3" customFormat="1" x14ac:dyDescent="0.25"/>
    <row r="77" spans="1:3" s="3" customFormat="1" x14ac:dyDescent="0.25"/>
    <row r="78" spans="1:3" s="3" customFormat="1" x14ac:dyDescent="0.25"/>
    <row r="79" spans="1:3" s="3" customFormat="1" x14ac:dyDescent="0.25"/>
    <row r="80" spans="1:3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</sheetData>
  <mergeCells count="22">
    <mergeCell ref="B36:E36"/>
    <mergeCell ref="O36:R36"/>
    <mergeCell ref="B24:E24"/>
    <mergeCell ref="J24:M24"/>
    <mergeCell ref="O24:R24"/>
    <mergeCell ref="B28:E28"/>
    <mergeCell ref="O28:R28"/>
    <mergeCell ref="B32:E32"/>
    <mergeCell ref="O32:R32"/>
    <mergeCell ref="B15:E15"/>
    <mergeCell ref="H15:J15"/>
    <mergeCell ref="M15:P15"/>
    <mergeCell ref="R15:U15"/>
    <mergeCell ref="B20:E20"/>
    <mergeCell ref="H20:K20"/>
    <mergeCell ref="O20:R20"/>
    <mergeCell ref="D1:P1"/>
    <mergeCell ref="I3:L3"/>
    <mergeCell ref="D10:G10"/>
    <mergeCell ref="I10:L10"/>
    <mergeCell ref="M10:N10"/>
    <mergeCell ref="O10:R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ZAMORANO SANCHE</dc:creator>
  <cp:lastModifiedBy>MARIA ALEJANDRA ZAMORANO SANCHE</cp:lastModifiedBy>
  <dcterms:created xsi:type="dcterms:W3CDTF">2026-03-31T16:40:18Z</dcterms:created>
  <dcterms:modified xsi:type="dcterms:W3CDTF">2026-03-31T16:41:33Z</dcterms:modified>
</cp:coreProperties>
</file>