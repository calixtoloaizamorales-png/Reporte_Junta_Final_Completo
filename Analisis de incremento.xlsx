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_Google_Drive\Mi unidad\Servicio Tecnico Montacargas\Presentacion\Presentacion 1\"/>
    </mc:Choice>
  </mc:AlternateContent>
  <xr:revisionPtr revIDLastSave="0" documentId="8_{A2A6409B-44A3-4251-A53F-698B7276148D}" xr6:coauthVersionLast="47" xr6:coauthVersionMax="47" xr10:uidLastSave="{00000000-0000-0000-0000-000000000000}"/>
  <bookViews>
    <workbookView xWindow="13095" yWindow="45" windowWidth="14445" windowHeight="15255" xr2:uid="{33390152-30D4-45F9-BD01-6119FE9BBCA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G29" i="1"/>
  <c r="F29" i="1"/>
  <c r="E29" i="1"/>
  <c r="D29" i="1"/>
  <c r="F27" i="1"/>
  <c r="E27" i="1"/>
  <c r="D27" i="1"/>
</calcChain>
</file>

<file path=xl/sharedStrings.xml><?xml version="1.0" encoding="utf-8"?>
<sst xmlns="http://schemas.openxmlformats.org/spreadsheetml/2006/main" count="6" uniqueCount="6">
  <si>
    <t>Ventas</t>
  </si>
  <si>
    <t>Total Costos</t>
  </si>
  <si>
    <t>Ingresos Netos</t>
  </si>
  <si>
    <t>Financieros</t>
  </si>
  <si>
    <t>Proveedores</t>
  </si>
  <si>
    <t>Total creditos (Finan. Y Proveedores)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</si>
</sst>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b/>
      <sz val="12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164" fontId="4" fillId="3" borderId="7" xfId="1" applyNumberFormat="1" applyFont="1" applyFill="1" applyBorder="1" applyAlignment="1">
      <alignment horizontal="center" vertical="top"/>
    </xf>
    <xf numFmtId="164" fontId="4" fillId="3" borderId="8" xfId="1" applyNumberFormat="1" applyFont="1" applyFill="1" applyBorder="1" applyAlignment="1">
      <alignment horizontal="center" vertical="top"/>
    </xf>
    <xf numFmtId="164" fontId="4" fillId="3" borderId="9" xfId="1" applyNumberFormat="1" applyFont="1" applyFill="1" applyBorder="1" applyAlignment="1">
      <alignment horizontal="center" vertical="top"/>
    </xf>
    <xf numFmtId="0" fontId="2" fillId="3" borderId="10" xfId="0" applyFont="1" applyFill="1" applyBorder="1" applyAlignment="1">
      <alignment horizontal="center" vertical="top"/>
    </xf>
    <xf numFmtId="0" fontId="2" fillId="3" borderId="11" xfId="0" applyFont="1" applyFill="1" applyBorder="1" applyAlignment="1">
      <alignment horizontal="center" vertical="top"/>
    </xf>
    <xf numFmtId="0" fontId="2" fillId="3" borderId="12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0" fontId="5" fillId="3" borderId="14" xfId="0" applyFont="1" applyFill="1" applyBorder="1" applyAlignment="1">
      <alignment horizontal="center" vertical="top"/>
    </xf>
    <xf numFmtId="0" fontId="5" fillId="3" borderId="15" xfId="0" applyFont="1" applyFill="1" applyBorder="1" applyAlignment="1">
      <alignment horizontal="center" vertical="top"/>
    </xf>
    <xf numFmtId="164" fontId="4" fillId="3" borderId="7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3" fillId="4" borderId="16" xfId="0" applyFont="1" applyFill="1" applyBorder="1" applyAlignment="1">
      <alignment horizontal="center" vertical="top"/>
    </xf>
    <xf numFmtId="0" fontId="3" fillId="4" borderId="17" xfId="0" applyFont="1" applyFill="1" applyBorder="1" applyAlignment="1">
      <alignment horizontal="center" vertical="top"/>
    </xf>
    <xf numFmtId="0" fontId="3" fillId="4" borderId="18" xfId="0" applyFont="1" applyFill="1" applyBorder="1" applyAlignment="1">
      <alignment horizontal="center" vertical="top"/>
    </xf>
    <xf numFmtId="165" fontId="4" fillId="3" borderId="0" xfId="1" applyNumberFormat="1" applyFont="1" applyFill="1" applyAlignment="1">
      <alignment horizontal="left" vertical="top"/>
    </xf>
    <xf numFmtId="0" fontId="2" fillId="3" borderId="19" xfId="0" applyFont="1" applyFill="1" applyBorder="1" applyAlignment="1">
      <alignment horizontal="center" vertical="top"/>
    </xf>
    <xf numFmtId="0" fontId="2" fillId="3" borderId="20" xfId="0" applyFont="1" applyFill="1" applyBorder="1" applyAlignment="1">
      <alignment horizontal="center" vertical="top"/>
    </xf>
    <xf numFmtId="0" fontId="2" fillId="3" borderId="21" xfId="0" applyFont="1" applyFill="1" applyBorder="1" applyAlignment="1">
      <alignment horizontal="center" vertical="top"/>
    </xf>
    <xf numFmtId="0" fontId="5" fillId="3" borderId="22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horizontal="center" vertical="top"/>
    </xf>
    <xf numFmtId="0" fontId="5" fillId="3" borderId="24" xfId="0" applyFont="1" applyFill="1" applyBorder="1" applyAlignment="1">
      <alignment horizontal="center" vertical="top"/>
    </xf>
    <xf numFmtId="164" fontId="4" fillId="3" borderId="25" xfId="0" applyNumberFormat="1" applyFont="1" applyFill="1" applyBorder="1" applyAlignment="1">
      <alignment horizontal="center" vertical="top"/>
    </xf>
    <xf numFmtId="164" fontId="4" fillId="3" borderId="26" xfId="1" applyNumberFormat="1" applyFont="1" applyFill="1" applyBorder="1" applyAlignment="1">
      <alignment horizontal="center" vertical="top"/>
    </xf>
    <xf numFmtId="164" fontId="4" fillId="3" borderId="27" xfId="1" applyNumberFormat="1" applyFont="1" applyFill="1" applyBorder="1" applyAlignment="1">
      <alignment horizontal="center" vertical="top"/>
    </xf>
    <xf numFmtId="10" fontId="4" fillId="0" borderId="28" xfId="0" applyNumberFormat="1" applyFont="1" applyBorder="1" applyAlignment="1">
      <alignment horizontal="center"/>
    </xf>
    <xf numFmtId="10" fontId="4" fillId="0" borderId="29" xfId="0" applyNumberFormat="1" applyFont="1" applyBorder="1" applyAlignment="1">
      <alignment horizontal="center"/>
    </xf>
    <xf numFmtId="10" fontId="4" fillId="0" borderId="30" xfId="0" applyNumberFormat="1" applyFont="1" applyBorder="1" applyAlignment="1">
      <alignment horizontal="center"/>
    </xf>
    <xf numFmtId="164" fontId="0" fillId="0" borderId="0" xfId="0" applyNumberFormat="1"/>
    <xf numFmtId="10" fontId="4" fillId="0" borderId="31" xfId="0" applyNumberFormat="1" applyFont="1" applyBorder="1" applyAlignment="1">
      <alignment horizontal="center"/>
    </xf>
    <xf numFmtId="10" fontId="4" fillId="0" borderId="32" xfId="0" applyNumberFormat="1" applyFont="1" applyBorder="1" applyAlignment="1">
      <alignment horizontal="center"/>
    </xf>
    <xf numFmtId="10" fontId="4" fillId="0" borderId="33" xfId="0" applyNumberFormat="1" applyFont="1" applyBorder="1" applyAlignment="1">
      <alignment horizontal="center"/>
    </xf>
    <xf numFmtId="164" fontId="4" fillId="3" borderId="34" xfId="0" applyNumberFormat="1" applyFont="1" applyFill="1" applyBorder="1" applyAlignment="1">
      <alignment horizontal="center" vertical="top"/>
    </xf>
    <xf numFmtId="164" fontId="4" fillId="3" borderId="35" xfId="1" applyNumberFormat="1" applyFont="1" applyFill="1" applyBorder="1" applyAlignment="1">
      <alignment horizontal="center" vertical="top"/>
    </xf>
    <xf numFmtId="164" fontId="4" fillId="3" borderId="36" xfId="1" applyNumberFormat="1" applyFont="1" applyFill="1" applyBorder="1" applyAlignment="1">
      <alignment horizontal="center" vertical="top"/>
    </xf>
    <xf numFmtId="164" fontId="4" fillId="3" borderId="37" xfId="0" applyNumberFormat="1" applyFont="1" applyFill="1" applyBorder="1" applyAlignment="1">
      <alignment horizontal="center" vertical="top"/>
    </xf>
    <xf numFmtId="164" fontId="4" fillId="3" borderId="38" xfId="1" applyNumberFormat="1" applyFont="1" applyFill="1" applyBorder="1" applyAlignment="1">
      <alignment horizontal="center" vertical="top"/>
    </xf>
    <xf numFmtId="164" fontId="4" fillId="3" borderId="39" xfId="1" applyNumberFormat="1" applyFont="1" applyFill="1" applyBorder="1" applyAlignment="1">
      <alignment horizontal="center" vertical="top"/>
    </xf>
    <xf numFmtId="9" fontId="4" fillId="0" borderId="0" xfId="0" applyNumberFormat="1" applyFont="1"/>
    <xf numFmtId="165" fontId="4" fillId="0" borderId="0" xfId="1" applyNumberFormat="1" applyFont="1"/>
    <xf numFmtId="43" fontId="0" fillId="0" borderId="0" xfId="1" applyFont="1"/>
  </cellXfs>
  <cellStyles count="2">
    <cellStyle name="Millares" xfId="1" builtinId="3"/>
    <cellStyle name="Normal" xfId="0" builtinId="0"/>
  </cellStyles>
  <dxfs count="24">
    <dxf>
      <font>
        <b/>
        <i/>
        <color theme="0"/>
      </font>
      <fill>
        <patternFill>
          <bgColor rgb="FF002D86"/>
        </patternFill>
      </fill>
    </dxf>
    <dxf>
      <fill>
        <patternFill>
          <bgColor rgb="FF3366FF"/>
        </patternFill>
      </fill>
    </dxf>
    <dxf>
      <fill>
        <patternFill>
          <bgColor rgb="FF5053BC"/>
        </patternFill>
      </fill>
    </dxf>
    <dxf>
      <font>
        <b/>
        <i/>
        <color theme="0"/>
      </font>
      <fill>
        <patternFill>
          <bgColor rgb="FF002D86"/>
        </patternFill>
      </fill>
    </dxf>
    <dxf>
      <fill>
        <patternFill>
          <bgColor rgb="FF5053BC"/>
        </patternFill>
      </fill>
    </dxf>
    <dxf>
      <fill>
        <patternFill>
          <bgColor rgb="FF3366FF"/>
        </patternFill>
      </fill>
    </dxf>
    <dxf>
      <font>
        <b/>
        <i/>
        <color theme="0"/>
      </font>
      <fill>
        <patternFill>
          <bgColor rgb="FF002D86"/>
        </patternFill>
      </fill>
    </dxf>
    <dxf>
      <fill>
        <patternFill>
          <bgColor rgb="FF3366FF"/>
        </patternFill>
      </fill>
    </dxf>
    <dxf>
      <font>
        <b/>
        <i/>
        <color theme="0"/>
      </font>
      <fill>
        <patternFill>
          <bgColor rgb="FF002D86"/>
        </patternFill>
      </fill>
    </dxf>
    <dxf>
      <fill>
        <patternFill>
          <bgColor rgb="FF5053BC"/>
        </patternFill>
      </fill>
    </dxf>
    <dxf>
      <fill>
        <patternFill>
          <bgColor rgb="FFB3E6FF"/>
        </patternFill>
      </fill>
    </dxf>
    <dxf>
      <fill>
        <patternFill>
          <bgColor rgb="FF3366FF"/>
        </patternFill>
      </fill>
    </dxf>
    <dxf>
      <font>
        <b/>
        <i/>
        <color theme="0"/>
      </font>
      <fill>
        <patternFill>
          <bgColor rgb="FF002D86"/>
        </patternFill>
      </fill>
    </dxf>
    <dxf>
      <fill>
        <patternFill>
          <bgColor rgb="FF3366FF"/>
        </patternFill>
      </fill>
    </dxf>
    <dxf>
      <fill>
        <patternFill>
          <bgColor rgb="FF5053BC"/>
        </patternFill>
      </fill>
    </dxf>
    <dxf>
      <font>
        <b/>
        <i/>
        <color theme="0"/>
      </font>
      <fill>
        <patternFill>
          <bgColor rgb="FF002D86"/>
        </patternFill>
      </fill>
    </dxf>
    <dxf>
      <fill>
        <patternFill>
          <bgColor rgb="FF5053BC"/>
        </patternFill>
      </fill>
    </dxf>
    <dxf>
      <fill>
        <patternFill>
          <bgColor rgb="FF3366FF"/>
        </patternFill>
      </fill>
    </dxf>
    <dxf>
      <font>
        <b/>
        <i/>
        <color theme="0"/>
      </font>
      <fill>
        <patternFill>
          <bgColor rgb="FF002D86"/>
        </patternFill>
      </fill>
    </dxf>
    <dxf>
      <fill>
        <patternFill>
          <bgColor rgb="FF3366FF"/>
        </patternFill>
      </fill>
    </dxf>
    <dxf>
      <font>
        <b/>
        <i/>
        <color theme="0"/>
      </font>
      <fill>
        <patternFill>
          <bgColor rgb="FF002D86"/>
        </patternFill>
      </fill>
    </dxf>
    <dxf>
      <fill>
        <patternFill>
          <bgColor rgb="FF5053BC"/>
        </patternFill>
      </fill>
    </dxf>
    <dxf>
      <fill>
        <patternFill>
          <bgColor rgb="FFB3E6FF"/>
        </patternFill>
      </fill>
    </dxf>
    <dxf>
      <fill>
        <patternFill>
          <bgColor rgb="FF3366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CADB-14A8-4221-825B-8FF09675E7CB}">
  <dimension ref="D1:H37"/>
  <sheetViews>
    <sheetView showGridLines="0" tabSelected="1" topLeftCell="C1" workbookViewId="0">
      <selection activeCell="C2" sqref="C2:C29"/>
    </sheetView>
  </sheetViews>
  <sheetFormatPr baseColWidth="10" defaultRowHeight="15" x14ac:dyDescent="0.25"/>
  <cols>
    <col min="3" max="3" width="28" customWidth="1"/>
    <col min="4" max="6" width="19.85546875" customWidth="1"/>
    <col min="7" max="7" width="23.42578125" customWidth="1"/>
    <col min="8" max="8" width="12.5703125" bestFit="1" customWidth="1"/>
  </cols>
  <sheetData>
    <row r="1" spans="4:8" ht="15.75" thickBot="1" x14ac:dyDescent="0.3"/>
    <row r="2" spans="4:8" ht="15.75" x14ac:dyDescent="0.25">
      <c r="D2" s="1" t="s">
        <v>0</v>
      </c>
      <c r="E2" s="2"/>
      <c r="F2" s="2"/>
      <c r="G2" s="3"/>
    </row>
    <row r="3" spans="4:8" ht="15.75" x14ac:dyDescent="0.25">
      <c r="D3" s="4">
        <v>2022</v>
      </c>
      <c r="E3" s="5">
        <v>2023</v>
      </c>
      <c r="F3" s="6">
        <v>2024</v>
      </c>
      <c r="G3" s="6">
        <v>2025</v>
      </c>
    </row>
    <row r="4" spans="4:8" ht="16.5" thickBot="1" x14ac:dyDescent="0.3">
      <c r="D4" s="7">
        <v>2781948806.54</v>
      </c>
      <c r="E4" s="8">
        <v>3328516000</v>
      </c>
      <c r="F4" s="9">
        <v>3403259466.4499998</v>
      </c>
      <c r="G4" s="9">
        <v>3460178123</v>
      </c>
    </row>
    <row r="5" spans="4:8" ht="15.75" thickBot="1" x14ac:dyDescent="0.3"/>
    <row r="6" spans="4:8" ht="15.75" x14ac:dyDescent="0.25">
      <c r="D6" s="10" t="s">
        <v>1</v>
      </c>
      <c r="E6" s="11"/>
      <c r="F6" s="11"/>
      <c r="G6" s="12"/>
    </row>
    <row r="7" spans="4:8" ht="15.75" x14ac:dyDescent="0.25">
      <c r="D7" s="13">
        <v>2022</v>
      </c>
      <c r="E7" s="14">
        <v>2023</v>
      </c>
      <c r="F7" s="15">
        <v>2024</v>
      </c>
      <c r="G7" s="15">
        <v>2025</v>
      </c>
    </row>
    <row r="8" spans="4:8" ht="16.5" thickBot="1" x14ac:dyDescent="0.3">
      <c r="D8" s="16">
        <v>2428608249.0349998</v>
      </c>
      <c r="E8" s="8">
        <v>3046915204.7799997</v>
      </c>
      <c r="F8" s="9">
        <v>3152798919.8800001</v>
      </c>
      <c r="G8" s="9">
        <v>3148449141</v>
      </c>
    </row>
    <row r="9" spans="4:8" ht="15.75" thickBot="1" x14ac:dyDescent="0.3"/>
    <row r="10" spans="4:8" ht="15.75" x14ac:dyDescent="0.25">
      <c r="D10" s="17" t="s">
        <v>2</v>
      </c>
      <c r="E10" s="18"/>
      <c r="F10" s="18"/>
      <c r="G10" s="19"/>
    </row>
    <row r="11" spans="4:8" ht="15.75" x14ac:dyDescent="0.25">
      <c r="D11" s="20">
        <v>2022</v>
      </c>
      <c r="E11" s="21">
        <v>2023</v>
      </c>
      <c r="F11" s="22">
        <v>2024</v>
      </c>
      <c r="G11" s="22">
        <v>2025</v>
      </c>
    </row>
    <row r="12" spans="4:8" ht="16.5" thickBot="1" x14ac:dyDescent="0.3">
      <c r="D12" s="7">
        <v>353340557.50500011</v>
      </c>
      <c r="E12" s="8">
        <v>281600795.22000027</v>
      </c>
      <c r="F12" s="9">
        <v>250460546.56999969</v>
      </c>
      <c r="G12" s="9">
        <v>311728982</v>
      </c>
      <c r="H12" s="36"/>
    </row>
    <row r="13" spans="4:8" ht="15.75" thickBot="1" x14ac:dyDescent="0.3"/>
    <row r="14" spans="4:8" ht="15.75" x14ac:dyDescent="0.25">
      <c r="D14" s="1" t="s">
        <v>3</v>
      </c>
      <c r="E14" s="2"/>
      <c r="F14" s="2"/>
      <c r="G14" s="3"/>
    </row>
    <row r="15" spans="4:8" ht="15.75" x14ac:dyDescent="0.25">
      <c r="D15" s="4">
        <v>2022</v>
      </c>
      <c r="E15" s="5">
        <v>2023</v>
      </c>
      <c r="F15" s="6">
        <v>2024</v>
      </c>
      <c r="G15" s="6">
        <v>2025</v>
      </c>
    </row>
    <row r="16" spans="4:8" ht="16.5" thickBot="1" x14ac:dyDescent="0.3">
      <c r="D16" s="7">
        <v>192194010.41800001</v>
      </c>
      <c r="E16" s="8">
        <v>227270140.71599999</v>
      </c>
      <c r="F16" s="9">
        <v>274711928.616</v>
      </c>
      <c r="G16" s="9">
        <v>274711928.616</v>
      </c>
    </row>
    <row r="17" spans="4:7" ht="16.5" thickBot="1" x14ac:dyDescent="0.3">
      <c r="D17" s="23"/>
      <c r="E17" s="23"/>
      <c r="F17" s="23"/>
    </row>
    <row r="18" spans="4:7" ht="15.75" x14ac:dyDescent="0.25">
      <c r="D18" s="10" t="s">
        <v>4</v>
      </c>
      <c r="E18" s="11"/>
      <c r="F18" s="11"/>
      <c r="G18" s="12"/>
    </row>
    <row r="19" spans="4:7" ht="15.75" x14ac:dyDescent="0.25">
      <c r="D19" s="13">
        <v>2022</v>
      </c>
      <c r="E19" s="14">
        <v>2023</v>
      </c>
      <c r="F19" s="15">
        <v>2024</v>
      </c>
      <c r="G19" s="15">
        <v>2025</v>
      </c>
    </row>
    <row r="20" spans="4:7" ht="16.5" thickBot="1" x14ac:dyDescent="0.3">
      <c r="D20" s="16">
        <v>105990980.88</v>
      </c>
      <c r="E20" s="8">
        <v>53177712.770000003</v>
      </c>
      <c r="F20" s="9">
        <v>93131163.415000007</v>
      </c>
      <c r="G20" s="9">
        <v>67396954.5</v>
      </c>
    </row>
    <row r="21" spans="4:7" ht="15.75" thickBot="1" x14ac:dyDescent="0.3"/>
    <row r="22" spans="4:7" ht="15.75" x14ac:dyDescent="0.25">
      <c r="D22" s="24" t="s">
        <v>5</v>
      </c>
      <c r="E22" s="25"/>
      <c r="F22" s="25"/>
      <c r="G22" s="26"/>
    </row>
    <row r="23" spans="4:7" ht="15.75" x14ac:dyDescent="0.25">
      <c r="D23" s="27">
        <v>2022</v>
      </c>
      <c r="E23" s="28">
        <v>2023</v>
      </c>
      <c r="F23" s="28">
        <v>2024</v>
      </c>
      <c r="G23" s="29">
        <v>2025</v>
      </c>
    </row>
    <row r="24" spans="4:7" ht="16.5" thickBot="1" x14ac:dyDescent="0.3">
      <c r="D24" s="30">
        <v>298184991.29799998</v>
      </c>
      <c r="E24" s="31">
        <v>280447853.486</v>
      </c>
      <c r="F24" s="31">
        <v>367843092.03100002</v>
      </c>
      <c r="G24" s="32">
        <v>342108883.116</v>
      </c>
    </row>
    <row r="26" spans="4:7" ht="15.75" thickBot="1" x14ac:dyDescent="0.3"/>
    <row r="27" spans="4:7" ht="16.5" thickBot="1" x14ac:dyDescent="0.3">
      <c r="D27" s="33">
        <f>1-(D8/D4)</f>
        <v>0.12701188342299552</v>
      </c>
      <c r="E27" s="34">
        <f t="shared" ref="E27:F27" si="0">1-(E8/E4)</f>
        <v>8.4602506107827158E-2</v>
      </c>
      <c r="F27" s="34">
        <f t="shared" si="0"/>
        <v>7.3594314227019453E-2</v>
      </c>
      <c r="G27" s="35">
        <f>1-(G8/G4)</f>
        <v>9.009044358957119E-2</v>
      </c>
    </row>
    <row r="28" spans="4:7" ht="15.75" x14ac:dyDescent="0.25">
      <c r="D28" s="37">
        <v>9.5000000000000001E-2</v>
      </c>
      <c r="E28" s="38">
        <v>9.5000000000000001E-2</v>
      </c>
      <c r="F28" s="38">
        <v>9.5000000000000001E-2</v>
      </c>
      <c r="G28" s="39">
        <v>0.115</v>
      </c>
    </row>
    <row r="29" spans="4:7" ht="15.75" x14ac:dyDescent="0.25">
      <c r="D29" s="40">
        <f>+D4-D8</f>
        <v>353340557.50500011</v>
      </c>
      <c r="E29" s="41">
        <f t="shared" ref="E29:G29" si="1">+E4-E8</f>
        <v>281600795.22000027</v>
      </c>
      <c r="F29" s="41">
        <f t="shared" si="1"/>
        <v>250460546.56999969</v>
      </c>
      <c r="G29" s="42">
        <f t="shared" si="1"/>
        <v>311728982</v>
      </c>
    </row>
    <row r="30" spans="4:7" ht="16.5" thickBot="1" x14ac:dyDescent="0.3">
      <c r="D30" s="43">
        <v>3046233943.1613002</v>
      </c>
      <c r="E30" s="44">
        <v>3644725020</v>
      </c>
      <c r="F30" s="44">
        <v>3726569115.7627497</v>
      </c>
      <c r="G30" s="45">
        <v>3858098607.145</v>
      </c>
    </row>
    <row r="31" spans="4:7" ht="15.75" x14ac:dyDescent="0.25">
      <c r="E31" s="46"/>
      <c r="F31" s="47"/>
    </row>
    <row r="32" spans="4:7" x14ac:dyDescent="0.25">
      <c r="F32" s="48"/>
    </row>
    <row r="33" spans="6:6" x14ac:dyDescent="0.25">
      <c r="F33" s="48"/>
    </row>
    <row r="34" spans="6:6" ht="15.75" x14ac:dyDescent="0.25">
      <c r="F34" s="47"/>
    </row>
    <row r="35" spans="6:6" ht="15.75" x14ac:dyDescent="0.25">
      <c r="F35" s="47"/>
    </row>
    <row r="36" spans="6:6" ht="15.75" x14ac:dyDescent="0.25">
      <c r="F36" s="47"/>
    </row>
    <row r="37" spans="6:6" ht="15.75" x14ac:dyDescent="0.25">
      <c r="F37" s="47"/>
    </row>
  </sheetData>
  <mergeCells count="6">
    <mergeCell ref="D2:G2"/>
    <mergeCell ref="D6:G6"/>
    <mergeCell ref="D10:G10"/>
    <mergeCell ref="D14:G14"/>
    <mergeCell ref="D18:G18"/>
    <mergeCell ref="D22:G22"/>
  </mergeCells>
  <conditionalFormatting sqref="D17">
    <cfRule type="expression" dxfId="11" priority="4">
      <formula>$A19=4</formula>
    </cfRule>
    <cfRule type="expression" dxfId="10" priority="5">
      <formula>$A19=6</formula>
    </cfRule>
    <cfRule type="expression" dxfId="9" priority="6">
      <formula>$A19=2</formula>
    </cfRule>
    <cfRule type="expression" dxfId="8" priority="7">
      <formula>$A19=1</formula>
    </cfRule>
  </conditionalFormatting>
  <conditionalFormatting sqref="E16">
    <cfRule type="expression" dxfId="7" priority="11">
      <formula>$A15=4</formula>
    </cfRule>
    <cfRule type="expression" dxfId="6" priority="12">
      <formula>$A15=1</formula>
    </cfRule>
  </conditionalFormatting>
  <conditionalFormatting sqref="E17:F17">
    <cfRule type="expression" dxfId="5" priority="1">
      <formula>$A17=4</formula>
    </cfRule>
    <cfRule type="expression" dxfId="4" priority="2">
      <formula>$A17=2</formula>
    </cfRule>
    <cfRule type="expression" dxfId="3" priority="3">
      <formula>$A17=1</formula>
    </cfRule>
  </conditionalFormatting>
  <conditionalFormatting sqref="E16:G16">
    <cfRule type="expression" dxfId="2" priority="9">
      <formula>$A15=2</formula>
    </cfRule>
  </conditionalFormatting>
  <conditionalFormatting sqref="F16:G16">
    <cfRule type="expression" dxfId="1" priority="8">
      <formula>$A15=4</formula>
    </cfRule>
    <cfRule type="expression" dxfId="0" priority="10">
      <formula>$A15=1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ZAMORANO SANCHE</dc:creator>
  <cp:lastModifiedBy>MARIA ALEJANDRA ZAMORANO SANCHE</cp:lastModifiedBy>
  <dcterms:created xsi:type="dcterms:W3CDTF">2026-03-31T16:41:40Z</dcterms:created>
  <dcterms:modified xsi:type="dcterms:W3CDTF">2026-03-31T16:52:44Z</dcterms:modified>
</cp:coreProperties>
</file>